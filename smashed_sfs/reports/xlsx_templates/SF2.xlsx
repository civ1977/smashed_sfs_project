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avin\OneDrive\Desktop\"/>
    </mc:Choice>
  </mc:AlternateContent>
  <xr:revisionPtr revIDLastSave="0" documentId="8_{4CF16882-3646-4E7F-802F-ED60DF4FC639}" xr6:coauthVersionLast="47" xr6:coauthVersionMax="47" xr10:uidLastSave="{00000000-0000-0000-0000-000000000000}"/>
  <bookViews>
    <workbookView xWindow="-120" yWindow="-120" windowWidth="20640" windowHeight="11160" xr2:uid="{C63501F9-6801-4088-94FA-5040FBCA380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R171" i="1" l="1"/>
  <c r="BR168" i="1"/>
  <c r="CE137" i="1"/>
  <c r="BZ134" i="1"/>
  <c r="BO130" i="1"/>
  <c r="BM130" i="1"/>
  <c r="BK130" i="1"/>
  <c r="BE130" i="1"/>
  <c r="BB130" i="1"/>
  <c r="AY130" i="1"/>
  <c r="AW130" i="1"/>
  <c r="AS130" i="1"/>
  <c r="AP130" i="1"/>
  <c r="AN130" i="1"/>
  <c r="AL130" i="1"/>
  <c r="AI130" i="1"/>
  <c r="AE130" i="1"/>
  <c r="AB130" i="1"/>
  <c r="W130" i="1"/>
  <c r="S130" i="1"/>
  <c r="O130" i="1"/>
  <c r="K130" i="1"/>
  <c r="BS129" i="1"/>
  <c r="BV129" i="1" s="1"/>
  <c r="G129" i="1"/>
  <c r="BV128" i="1"/>
  <c r="BS128" i="1"/>
  <c r="G128" i="1"/>
  <c r="BS127" i="1"/>
  <c r="BV127" i="1" s="1"/>
  <c r="G127" i="1"/>
  <c r="BS126" i="1"/>
  <c r="BV126" i="1" s="1"/>
  <c r="G126" i="1"/>
  <c r="BS125" i="1"/>
  <c r="BV125" i="1" s="1"/>
  <c r="G125" i="1"/>
  <c r="BS124" i="1"/>
  <c r="BV124" i="1" s="1"/>
  <c r="G124" i="1"/>
  <c r="BV123" i="1"/>
  <c r="BS123" i="1"/>
  <c r="G123" i="1"/>
  <c r="BS122" i="1"/>
  <c r="BV122" i="1" s="1"/>
  <c r="G122" i="1"/>
  <c r="BS121" i="1"/>
  <c r="BV121" i="1" s="1"/>
  <c r="G121" i="1"/>
  <c r="BV120" i="1"/>
  <c r="BS120" i="1"/>
  <c r="G120" i="1"/>
  <c r="BS119" i="1"/>
  <c r="BV119" i="1" s="1"/>
  <c r="G119" i="1"/>
  <c r="BS118" i="1"/>
  <c r="BV118" i="1" s="1"/>
  <c r="G118" i="1"/>
  <c r="BS117" i="1"/>
  <c r="BV117" i="1" s="1"/>
  <c r="G117" i="1"/>
  <c r="BS116" i="1"/>
  <c r="BV116" i="1" s="1"/>
  <c r="G116" i="1"/>
  <c r="BS115" i="1"/>
  <c r="BV115" i="1" s="1"/>
  <c r="G115" i="1"/>
  <c r="BS114" i="1"/>
  <c r="BV114" i="1" s="1"/>
  <c r="G114" i="1"/>
  <c r="BS113" i="1"/>
  <c r="BV113" i="1" s="1"/>
  <c r="G113" i="1"/>
  <c r="BV112" i="1"/>
  <c r="BS112" i="1"/>
  <c r="G112" i="1"/>
  <c r="BS111" i="1"/>
  <c r="BV111" i="1" s="1"/>
  <c r="G111" i="1"/>
  <c r="BS110" i="1"/>
  <c r="BV110" i="1" s="1"/>
  <c r="G110" i="1"/>
  <c r="BS109" i="1"/>
  <c r="BV109" i="1" s="1"/>
  <c r="G109" i="1"/>
  <c r="BS108" i="1"/>
  <c r="BV108" i="1" s="1"/>
  <c r="G108" i="1"/>
  <c r="BS107" i="1"/>
  <c r="BV107" i="1" s="1"/>
  <c r="G107" i="1"/>
  <c r="BS106" i="1"/>
  <c r="BV106" i="1" s="1"/>
  <c r="G106" i="1"/>
  <c r="BS105" i="1"/>
  <c r="BV105" i="1" s="1"/>
  <c r="G105" i="1"/>
  <c r="BV104" i="1"/>
  <c r="BS104" i="1"/>
  <c r="G104" i="1"/>
  <c r="BS103" i="1"/>
  <c r="BV103" i="1" s="1"/>
  <c r="G103" i="1"/>
  <c r="BS102" i="1"/>
  <c r="BV102" i="1" s="1"/>
  <c r="G102" i="1"/>
  <c r="BS101" i="1"/>
  <c r="BV101" i="1" s="1"/>
  <c r="G101" i="1"/>
  <c r="BS100" i="1"/>
  <c r="BV100" i="1" s="1"/>
  <c r="G100" i="1"/>
  <c r="BS99" i="1"/>
  <c r="BV99" i="1" s="1"/>
  <c r="G99" i="1"/>
  <c r="BS98" i="1"/>
  <c r="BV98" i="1" s="1"/>
  <c r="G98" i="1"/>
  <c r="BS97" i="1"/>
  <c r="BV97" i="1" s="1"/>
  <c r="G97" i="1"/>
  <c r="BV96" i="1"/>
  <c r="BS96" i="1"/>
  <c r="G96" i="1"/>
  <c r="BS95" i="1"/>
  <c r="BV95" i="1" s="1"/>
  <c r="G95" i="1"/>
  <c r="BS94" i="1"/>
  <c r="BV94" i="1" s="1"/>
  <c r="G94" i="1"/>
  <c r="BS93" i="1"/>
  <c r="BV93" i="1" s="1"/>
  <c r="G93" i="1"/>
  <c r="BS92" i="1"/>
  <c r="BV92" i="1" s="1"/>
  <c r="G92" i="1"/>
  <c r="BS91" i="1"/>
  <c r="BV91" i="1" s="1"/>
  <c r="G91" i="1"/>
  <c r="BS90" i="1"/>
  <c r="BV90" i="1" s="1"/>
  <c r="G90" i="1"/>
  <c r="BS89" i="1"/>
  <c r="BV89" i="1" s="1"/>
  <c r="G89" i="1"/>
  <c r="BV88" i="1"/>
  <c r="BS88" i="1"/>
  <c r="G88" i="1"/>
  <c r="BS87" i="1"/>
  <c r="BV87" i="1" s="1"/>
  <c r="G87" i="1"/>
  <c r="BS86" i="1"/>
  <c r="BV86" i="1" s="1"/>
  <c r="G86" i="1"/>
  <c r="BS85" i="1"/>
  <c r="BV85" i="1" s="1"/>
  <c r="G85" i="1"/>
  <c r="BS84" i="1"/>
  <c r="BV84" i="1" s="1"/>
  <c r="G84" i="1"/>
  <c r="BS83" i="1"/>
  <c r="BV83" i="1" s="1"/>
  <c r="G83" i="1"/>
  <c r="BS82" i="1"/>
  <c r="BV82" i="1" s="1"/>
  <c r="G82" i="1"/>
  <c r="BS81" i="1"/>
  <c r="BV81" i="1" s="1"/>
  <c r="G81" i="1"/>
  <c r="BV80" i="1"/>
  <c r="BS80" i="1"/>
  <c r="G80" i="1"/>
  <c r="BS79" i="1"/>
  <c r="BV79" i="1" s="1"/>
  <c r="G79" i="1"/>
  <c r="BS78" i="1"/>
  <c r="BV78" i="1" s="1"/>
  <c r="G78" i="1"/>
  <c r="BS77" i="1"/>
  <c r="BV77" i="1" s="1"/>
  <c r="G77" i="1"/>
  <c r="BS76" i="1"/>
  <c r="BV76" i="1" s="1"/>
  <c r="G76" i="1"/>
  <c r="AA130" i="1" s="1"/>
  <c r="BS75" i="1"/>
  <c r="BV75" i="1" s="1"/>
  <c r="G75" i="1"/>
  <c r="CD135" i="1" s="1"/>
  <c r="CD142" i="1" s="1"/>
  <c r="CD144" i="1" s="1"/>
  <c r="BO74" i="1"/>
  <c r="BO131" i="1" s="1"/>
  <c r="BM74" i="1"/>
  <c r="BM131" i="1" s="1"/>
  <c r="BK74" i="1"/>
  <c r="BK131" i="1" s="1"/>
  <c r="BE74" i="1"/>
  <c r="BE131" i="1" s="1"/>
  <c r="BB74" i="1"/>
  <c r="BB131" i="1" s="1"/>
  <c r="AY74" i="1"/>
  <c r="AY131" i="1" s="1"/>
  <c r="AW74" i="1"/>
  <c r="AW131" i="1" s="1"/>
  <c r="AS74" i="1"/>
  <c r="AS131" i="1" s="1"/>
  <c r="AP74" i="1"/>
  <c r="AP131" i="1" s="1"/>
  <c r="AN74" i="1"/>
  <c r="AN131" i="1" s="1"/>
  <c r="AL74" i="1"/>
  <c r="AL131" i="1" s="1"/>
  <c r="AI74" i="1"/>
  <c r="AI131" i="1" s="1"/>
  <c r="AE74" i="1"/>
  <c r="AE131" i="1" s="1"/>
  <c r="AB74" i="1"/>
  <c r="AB131" i="1" s="1"/>
  <c r="W74" i="1"/>
  <c r="W131" i="1" s="1"/>
  <c r="S74" i="1"/>
  <c r="S131" i="1" s="1"/>
  <c r="O74" i="1"/>
  <c r="O131" i="1" s="1"/>
  <c r="K74" i="1"/>
  <c r="K131" i="1" s="1"/>
  <c r="BS73" i="1"/>
  <c r="BV73" i="1" s="1"/>
  <c r="G73" i="1"/>
  <c r="BS72" i="1"/>
  <c r="BV72" i="1" s="1"/>
  <c r="G72" i="1"/>
  <c r="BV71" i="1"/>
  <c r="BS71" i="1"/>
  <c r="G71" i="1"/>
  <c r="BS70" i="1"/>
  <c r="BV70" i="1" s="1"/>
  <c r="G70" i="1"/>
  <c r="BS69" i="1"/>
  <c r="BV69" i="1" s="1"/>
  <c r="G69" i="1"/>
  <c r="BS68" i="1"/>
  <c r="BV68" i="1" s="1"/>
  <c r="G68" i="1"/>
  <c r="BS67" i="1"/>
  <c r="BV67" i="1" s="1"/>
  <c r="G67" i="1"/>
  <c r="BS66" i="1"/>
  <c r="BV66" i="1" s="1"/>
  <c r="G66" i="1"/>
  <c r="BS65" i="1"/>
  <c r="BV65" i="1" s="1"/>
  <c r="G65" i="1"/>
  <c r="BS64" i="1"/>
  <c r="BV64" i="1" s="1"/>
  <c r="G64" i="1"/>
  <c r="BV63" i="1"/>
  <c r="BS63" i="1"/>
  <c r="G63" i="1"/>
  <c r="BS62" i="1"/>
  <c r="BV62" i="1" s="1"/>
  <c r="G62" i="1"/>
  <c r="BS61" i="1"/>
  <c r="BV61" i="1" s="1"/>
  <c r="G61" i="1"/>
  <c r="BS60" i="1"/>
  <c r="BV60" i="1" s="1"/>
  <c r="G60" i="1"/>
  <c r="BS59" i="1"/>
  <c r="BV59" i="1" s="1"/>
  <c r="G59" i="1"/>
  <c r="BS58" i="1"/>
  <c r="BV58" i="1" s="1"/>
  <c r="G58" i="1"/>
  <c r="BS57" i="1"/>
  <c r="BV57" i="1" s="1"/>
  <c r="G57" i="1"/>
  <c r="BS56" i="1"/>
  <c r="BV56" i="1" s="1"/>
  <c r="G56" i="1"/>
  <c r="BV55" i="1"/>
  <c r="BS55" i="1"/>
  <c r="G55" i="1"/>
  <c r="BS54" i="1"/>
  <c r="BV54" i="1" s="1"/>
  <c r="G54" i="1"/>
  <c r="BS53" i="1"/>
  <c r="BV53" i="1" s="1"/>
  <c r="G53" i="1"/>
  <c r="BS52" i="1"/>
  <c r="BV52" i="1" s="1"/>
  <c r="G52" i="1"/>
  <c r="BS51" i="1"/>
  <c r="BV51" i="1" s="1"/>
  <c r="G51" i="1"/>
  <c r="BS50" i="1"/>
  <c r="BV50" i="1" s="1"/>
  <c r="G50" i="1"/>
  <c r="BS49" i="1"/>
  <c r="BV49" i="1" s="1"/>
  <c r="G49" i="1"/>
  <c r="BS48" i="1"/>
  <c r="BV48" i="1" s="1"/>
  <c r="G48" i="1"/>
  <c r="BV47" i="1"/>
  <c r="BS47" i="1"/>
  <c r="G47" i="1"/>
  <c r="BS46" i="1"/>
  <c r="BV46" i="1" s="1"/>
  <c r="G46" i="1"/>
  <c r="BS45" i="1"/>
  <c r="BV45" i="1" s="1"/>
  <c r="G45" i="1"/>
  <c r="BS44" i="1"/>
  <c r="BV44" i="1" s="1"/>
  <c r="G44" i="1"/>
  <c r="BS43" i="1"/>
  <c r="BV43" i="1" s="1"/>
  <c r="G43" i="1"/>
  <c r="BS42" i="1"/>
  <c r="BV42" i="1" s="1"/>
  <c r="G42" i="1"/>
  <c r="BS41" i="1"/>
  <c r="BV41" i="1" s="1"/>
  <c r="G41" i="1"/>
  <c r="BS40" i="1"/>
  <c r="BV40" i="1" s="1"/>
  <c r="G40" i="1"/>
  <c r="BV39" i="1"/>
  <c r="BS39" i="1"/>
  <c r="G39" i="1"/>
  <c r="BS38" i="1"/>
  <c r="BV38" i="1" s="1"/>
  <c r="G38" i="1"/>
  <c r="BS37" i="1"/>
  <c r="BV37" i="1" s="1"/>
  <c r="G37" i="1"/>
  <c r="BS36" i="1"/>
  <c r="BV36" i="1" s="1"/>
  <c r="G36" i="1"/>
  <c r="BS35" i="1"/>
  <c r="BV35" i="1" s="1"/>
  <c r="G35" i="1"/>
  <c r="BS34" i="1"/>
  <c r="BV34" i="1" s="1"/>
  <c r="G34" i="1"/>
  <c r="BS33" i="1"/>
  <c r="BV33" i="1" s="1"/>
  <c r="G33" i="1"/>
  <c r="BS32" i="1"/>
  <c r="BV32" i="1" s="1"/>
  <c r="G32" i="1"/>
  <c r="BV31" i="1"/>
  <c r="BS31" i="1"/>
  <c r="G31" i="1"/>
  <c r="BS30" i="1"/>
  <c r="BV30" i="1" s="1"/>
  <c r="G30" i="1"/>
  <c r="BS29" i="1"/>
  <c r="BV29" i="1" s="1"/>
  <c r="G29" i="1"/>
  <c r="BS28" i="1"/>
  <c r="BV28" i="1" s="1"/>
  <c r="G28" i="1"/>
  <c r="BS27" i="1"/>
  <c r="BV27" i="1" s="1"/>
  <c r="G27" i="1"/>
  <c r="BS26" i="1"/>
  <c r="BV26" i="1" s="1"/>
  <c r="G26" i="1"/>
  <c r="BS25" i="1"/>
  <c r="BV25" i="1" s="1"/>
  <c r="G25" i="1"/>
  <c r="BS24" i="1"/>
  <c r="BV24" i="1" s="1"/>
  <c r="G24" i="1"/>
  <c r="BV23" i="1"/>
  <c r="BS23" i="1"/>
  <c r="G23" i="1"/>
  <c r="BS22" i="1"/>
  <c r="BV22" i="1" s="1"/>
  <c r="G22" i="1"/>
  <c r="BS21" i="1"/>
  <c r="BV21" i="1" s="1"/>
  <c r="G21" i="1"/>
  <c r="N74" i="1" s="1"/>
  <c r="BS20" i="1"/>
  <c r="BV20" i="1" s="1"/>
  <c r="G20" i="1"/>
  <c r="BS19" i="1"/>
  <c r="BS74" i="1" s="1"/>
  <c r="G19" i="1"/>
  <c r="CC135" i="1" s="1"/>
  <c r="BK17" i="1"/>
  <c r="BJ130" i="1" s="1"/>
  <c r="BJ17" i="1"/>
  <c r="BI130" i="1" s="1"/>
  <c r="AY17" i="1"/>
  <c r="AW17" i="1"/>
  <c r="AV130" i="1" s="1"/>
  <c r="AV17" i="1"/>
  <c r="BI17" i="1" s="1"/>
  <c r="AU17" i="1"/>
  <c r="BE17" i="1" s="1"/>
  <c r="AP17" i="1"/>
  <c r="AN17" i="1"/>
  <c r="AL17" i="1"/>
  <c r="AI17" i="1"/>
  <c r="AH130" i="1" s="1"/>
  <c r="AH17" i="1"/>
  <c r="AS17" i="1" s="1"/>
  <c r="AE17" i="1"/>
  <c r="AR17" i="1" s="1"/>
  <c r="BB17" i="1" s="1"/>
  <c r="AB17" i="1"/>
  <c r="AA74" i="1" s="1"/>
  <c r="AA131" i="1" s="1"/>
  <c r="AA17" i="1"/>
  <c r="Z74" i="1" s="1"/>
  <c r="Z17" i="1"/>
  <c r="W17" i="1"/>
  <c r="V74" i="1" s="1"/>
  <c r="I12" i="1"/>
  <c r="BN11" i="1"/>
  <c r="BP134" i="1" s="1"/>
  <c r="AN8" i="1"/>
  <c r="U8" i="1"/>
  <c r="BC7" i="1"/>
  <c r="AQ5" i="1"/>
  <c r="Y5" i="1"/>
  <c r="I5" i="1"/>
  <c r="AR74" i="1" l="1"/>
  <c r="BD17" i="1"/>
  <c r="AR130" i="1"/>
  <c r="CC142" i="1"/>
  <c r="CE135" i="1"/>
  <c r="BV130" i="1"/>
  <c r="BS131" i="1"/>
  <c r="BD74" i="1"/>
  <c r="BD131" i="1" s="1"/>
  <c r="BD130" i="1"/>
  <c r="V130" i="1"/>
  <c r="V131" i="1" s="1"/>
  <c r="M74" i="1"/>
  <c r="M131" i="1" s="1"/>
  <c r="BS130" i="1"/>
  <c r="BI74" i="1"/>
  <c r="BI131" i="1" s="1"/>
  <c r="AH74" i="1"/>
  <c r="AH131" i="1" s="1"/>
  <c r="AU74" i="1"/>
  <c r="BJ74" i="1"/>
  <c r="BJ131" i="1" s="1"/>
  <c r="AV74" i="1"/>
  <c r="AV131" i="1" s="1"/>
  <c r="Z130" i="1"/>
  <c r="Z131" i="1" s="1"/>
  <c r="BV19" i="1"/>
  <c r="BV74" i="1" s="1"/>
  <c r="M130" i="1"/>
  <c r="N130" i="1"/>
  <c r="N131" i="1" s="1"/>
  <c r="AU130" i="1"/>
  <c r="CD148" i="1" l="1"/>
  <c r="CD146" i="1"/>
  <c r="CC144" i="1"/>
  <c r="CE142" i="1"/>
  <c r="CE144" i="1" s="1"/>
  <c r="AU131" i="1"/>
  <c r="CC148" i="1"/>
  <c r="BV131" i="1"/>
  <c r="CE148" i="1" s="1"/>
  <c r="CC146" i="1"/>
  <c r="CE146" i="1" s="1"/>
  <c r="AR131" i="1"/>
</calcChain>
</file>

<file path=xl/sharedStrings.xml><?xml version="1.0" encoding="utf-8"?>
<sst xmlns="http://schemas.openxmlformats.org/spreadsheetml/2006/main" count="3411" uniqueCount="85">
  <si>
    <t>School Form 2 Daily Attendance Report of Learners For Senior High School (SF2-SHS)</t>
  </si>
  <si>
    <t xml:space="preserve">School Name </t>
  </si>
  <si>
    <t xml:space="preserve">School ID </t>
  </si>
  <si>
    <t xml:space="preserve">District </t>
  </si>
  <si>
    <t xml:space="preserve">Division </t>
  </si>
  <si>
    <t>Quezon</t>
  </si>
  <si>
    <t>Region</t>
  </si>
  <si>
    <t>Region IV-A</t>
  </si>
  <si>
    <t xml:space="preserve">School Year </t>
  </si>
  <si>
    <t>Semester</t>
  </si>
  <si>
    <t>First Semester</t>
  </si>
  <si>
    <t xml:space="preserve">Grade Level </t>
  </si>
  <si>
    <t>Track and Strand</t>
  </si>
  <si>
    <t>Course (for TVL only)</t>
  </si>
  <si>
    <t>Month of</t>
  </si>
  <si>
    <t xml:space="preserve">Section </t>
  </si>
  <si>
    <t/>
  </si>
  <si>
    <t>Learner Attendance Conversion Tool</t>
  </si>
  <si>
    <t>LACT1</t>
  </si>
  <si>
    <t>No.</t>
  </si>
  <si>
    <t>NAME
(Last Name, First Name, Middle Name)</t>
  </si>
  <si>
    <t>DATE</t>
  </si>
  <si>
    <t>Total for the Month</t>
  </si>
  <si>
    <t>REMARKS (If NLPA, state reason, please refer to legend number 2. If TRANSFERRED IN/OUT, write the name of School.)</t>
  </si>
  <si>
    <t>M</t>
  </si>
  <si>
    <t>T</t>
  </si>
  <si>
    <t>W</t>
  </si>
  <si>
    <t>TH</t>
  </si>
  <si>
    <t>F</t>
  </si>
  <si>
    <t>S</t>
  </si>
  <si>
    <t>ABSENT</t>
  </si>
  <si>
    <t>PRESENT</t>
  </si>
  <si>
    <t>&lt;=== MALE | TOTAL Per Day ===&gt;</t>
  </si>
  <si>
    <t>&lt;=== FEMALE | TOTAL Per Day ===&gt;</t>
  </si>
  <si>
    <t>Combined TOTAL Per Day</t>
  </si>
  <si>
    <t>1. CODES FOR CHECKING ATTENDANCE</t>
  </si>
  <si>
    <t>Month :</t>
  </si>
  <si>
    <t xml:space="preserve">No. of Days of </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</si>
  <si>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</si>
  <si>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</si>
  <si>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</si>
  <si>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Classes:</t>
  </si>
  <si>
    <t>TOTAL</t>
  </si>
  <si>
    <t>* Enrolment as of (1st Friday of class)</t>
  </si>
  <si>
    <t>2. REASONS/CAUSES FOR NLPA</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</si>
  <si>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</si>
  <si>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</si>
  <si>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</si>
  <si>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</si>
  <si>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</si>
  <si>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</si>
  <si>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</si>
  <si>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</si>
  <si>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</si>
  <si>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</si>
  <si>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</si>
  <si>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</si>
  <si>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</si>
  <si>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</si>
  <si>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</si>
  <si>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</si>
  <si>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</si>
  <si>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</si>
  <si>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</si>
  <si>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</si>
  <si>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</si>
  <si>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</si>
  <si>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</si>
  <si>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c. School-Related Factors</t>
  </si>
  <si>
    <t xml:space="preserve">       NLPA</t>
  </si>
  <si>
    <t>c.1. Teacher Factor
c.2. Physical condition of classroom
c.3. Peer influence</t>
  </si>
  <si>
    <t xml:space="preserve">      Transferred Out1</t>
  </si>
  <si>
    <t>d. Geographic/Environmental</t>
  </si>
  <si>
    <t xml:space="preserve">      Transferred In</t>
  </si>
  <si>
    <t>d.1. Distance between home and school
d.2. Armed conflict (incl. Tribal wars &amp; clanfeuds)
d.3. Calamities/Disasters</t>
  </si>
  <si>
    <t xml:space="preserve">      Shifted Out</t>
  </si>
  <si>
    <t xml:space="preserve">      Shifted In</t>
  </si>
  <si>
    <t>e. Financial-Related</t>
  </si>
  <si>
    <t>e.1. Child labor, work</t>
  </si>
  <si>
    <t>I certify that this is a true and correct report.</t>
  </si>
  <si>
    <t>f. Others (Specify)</t>
  </si>
  <si>
    <t>(Signature of Adviser over Printed Name)</t>
  </si>
  <si>
    <t>Attested by:</t>
  </si>
  <si>
    <t>Generated thru LIS</t>
  </si>
  <si>
    <t xml:space="preserve"> (Signature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</si>
</sst>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1">
    <font>
      <sz val="11"/>
      <color theme="1"/>
      <name val="Aptos Narrow"/>
      <family val="2"/>
      <scheme val="minor"/>
    </font>
    <font>
      <sz val="10"/>
      <name val="Arial"/>
      <family val="2"/>
    </font>
    <font>
      <sz val="9"/>
      <color theme="1" tint="0.499984740745262"/>
      <name val="SansSerif"/>
    </font>
    <font>
      <sz val="10"/>
      <color theme="1" tint="0.499984740745262"/>
      <name val="Arial"/>
      <family val="2"/>
    </font>
    <font>
      <b/>
      <sz val="11"/>
      <color theme="1" tint="0.499984740745262"/>
      <name val="SansSerif"/>
    </font>
    <font>
      <sz val="8"/>
      <color theme="1" tint="0.499984740745262"/>
      <name val="SansSerif"/>
    </font>
    <font>
      <sz val="7"/>
      <color theme="1" tint="0.499984740745262"/>
      <name val="SansSerif"/>
    </font>
    <font>
      <sz val="6"/>
      <color theme="1" tint="0.499984740745262"/>
      <name val="SansSerif"/>
    </font>
    <font>
      <sz val="8"/>
      <name val="SansSerif"/>
    </font>
    <font>
      <b/>
      <sz val="8"/>
      <color theme="1" tint="0.499984740745262"/>
      <name val="SansSerif"/>
    </font>
    <font>
      <b/>
      <sz val="6"/>
      <color theme="1" tint="0.499984740745262"/>
      <name val="SansSerif"/>
    </font>
    <font>
      <b/>
      <sz val="5"/>
      <color theme="1" tint="0.499984740745262"/>
      <name val="SansSerif"/>
    </font>
    <font>
      <sz val="9"/>
      <color rgb="FF0070C0"/>
      <name val="SansSerif"/>
    </font>
    <font>
      <b/>
      <sz val="9"/>
      <color theme="1" tint="0.499984740745262"/>
      <name val="Arial Narrow"/>
      <family val="2"/>
    </font>
    <font>
      <b/>
      <sz val="5"/>
      <color theme="1" tint="0.499984740745262"/>
      <name val="Arial Narrow"/>
      <family val="2"/>
    </font>
    <font>
      <sz val="5"/>
      <color theme="1" tint="0.499984740745262"/>
      <name val="SansSerif"/>
    </font>
    <font>
      <i/>
      <sz val="5"/>
      <color theme="1" tint="0.499984740745262"/>
      <name val="SansSerif"/>
    </font>
    <font>
      <b/>
      <i/>
      <sz val="5"/>
      <color theme="1" tint="0.499984740745262"/>
      <name val="SansSerif"/>
    </font>
    <font>
      <i/>
      <sz val="8"/>
      <color theme="1" tint="0.499984740745262"/>
      <name val="SansSerif"/>
    </font>
    <font>
      <sz val="10"/>
      <color theme="1" tint="0.499984740745262"/>
      <name val="SansSerif"/>
    </font>
    <font>
      <sz val="6"/>
      <color theme="1" tint="0.499984740745262"/>
      <name val="Arial"/>
      <family val="2"/>
    </font>
  </fonts>
  <fills count="4">
    <fill>
      <patternFill patternType="none"/>
    </fill>
    <fill>
      <patternFill patternType="gray125"/>
    </fill>
    <fill>
      <patternFill patternType="solid">
        <fgColor indexed="9"/>
        <bgColor indexed="64"/>
      </patternFill>
    </fill>
    <fill>
      <patternFill patternType="solid">
        <fgColor indexed="55"/>
        <bgColor indexed="64"/>
      </patternFill>
    </fill>
  </fills>
  <borders count="6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style="thin">
        <color indexed="8"/>
      </left>
      <right style="medium">
        <color indexed="8"/>
      </right>
      <top style="thin">
        <color indexed="8"/>
      </top>
      <bottom style="medium">
        <color indexed="8"/>
      </bottom>
      <diagonal/>
    </border>
    <border>
      <left/>
      <right style="medium">
        <color indexed="8"/>
      </right>
      <top style="thin">
        <color indexed="8"/>
      </top>
      <bottom style="medium">
        <color indexed="8"/>
      </bottom>
      <diagonal/>
    </border>
    <border>
      <left style="medium">
        <color indexed="8"/>
      </left>
      <right/>
      <top style="thin">
        <color indexed="8"/>
      </top>
      <bottom/>
      <diagonal/>
    </border>
    <border>
      <left/>
      <right style="thin">
        <color indexed="8"/>
      </right>
      <top/>
      <bottom style="medium">
        <color indexed="8"/>
      </bottom>
      <diagonal/>
    </border>
    <border>
      <left style="thin">
        <color indexed="8"/>
      </left>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top/>
      <bottom/>
      <diagonal/>
    </border>
    <border>
      <left/>
      <right style="thin">
        <color indexed="8"/>
      </right>
      <top/>
      <bottom/>
      <diagonal/>
    </border>
    <border>
      <left style="medium">
        <color indexed="64"/>
      </left>
      <right/>
      <top/>
      <bottom/>
      <diagonal/>
    </border>
    <border>
      <left/>
      <right style="medium">
        <color indexed="64"/>
      </right>
      <top/>
      <bottom/>
      <diagonal/>
    </border>
    <border>
      <left/>
      <right style="medium">
        <color indexed="8"/>
      </right>
      <top/>
      <bottom style="thin">
        <color indexed="8"/>
      </bottom>
      <diagonal/>
    </border>
    <border>
      <left/>
      <right style="medium">
        <color indexed="64"/>
      </right>
      <top/>
      <bottom style="medium">
        <color indexed="8"/>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style="thin">
        <color indexed="8"/>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style="thin">
        <color indexed="8"/>
      </left>
      <right style="thin">
        <color indexed="8"/>
      </right>
      <top/>
      <bottom style="thin">
        <color indexed="8"/>
      </bottom>
      <diagonal/>
    </border>
    <border>
      <left/>
      <right style="thin">
        <color indexed="9"/>
      </right>
      <top/>
      <bottom/>
      <diagonal/>
    </border>
    <border>
      <left style="thin">
        <color indexed="8"/>
      </left>
      <right style="thin">
        <color indexed="8"/>
      </right>
      <top/>
      <bottom/>
      <diagonal/>
    </border>
  </borders>
  <cellStyleXfs count="3">
    <xf numFmtId="0" fontId="0" fillId="0" borderId="0"/>
    <xf numFmtId="0" fontId="1" fillId="0" borderId="0" applyNumberFormat="0" applyFont="0" applyFill="0" applyBorder="0" applyAlignment="0" applyProtection="0"/>
    <xf numFmtId="9" fontId="1" fillId="0" borderId="0" applyNumberFormat="0" applyFont="0" applyFill="0" applyBorder="0" applyAlignment="0" applyProtection="0"/>
  </cellStyleXfs>
  <cellXfs count="271">
    <xf numFmtId="0" fontId="0" fillId="0" borderId="0" xfId="0"/>
    <xf numFmtId="0" fontId="2" fillId="0" borderId="0" xfId="1" applyNumberFormat="1" applyFont="1" applyFill="1" applyBorder="1" applyAlignment="1" applyProtection="1">
      <alignment horizontal="left" vertical="top" wrapText="1"/>
    </xf>
    <xf numFmtId="0" fontId="2" fillId="0" borderId="0" xfId="1" applyNumberFormat="1" applyFont="1" applyFill="1" applyBorder="1" applyAlignment="1" applyProtection="1">
      <alignment horizontal="left" vertical="top" wrapText="1"/>
    </xf>
    <xf numFmtId="0" fontId="3" fillId="0" borderId="0" xfId="1" applyNumberFormat="1" applyFont="1" applyFill="1" applyBorder="1" applyAlignment="1"/>
    <xf numFmtId="0" fontId="4" fillId="0" borderId="0" xfId="1" applyNumberFormat="1" applyFont="1" applyFill="1" applyBorder="1" applyAlignment="1" applyProtection="1">
      <alignment horizontal="center" vertical="center" wrapText="1"/>
    </xf>
    <xf numFmtId="0" fontId="5" fillId="0" borderId="0" xfId="1" applyNumberFormat="1" applyFont="1" applyFill="1" applyBorder="1" applyAlignment="1" applyProtection="1">
      <alignment horizontal="right" vertical="center" wrapText="1"/>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5" fillId="0" borderId="1" xfId="1" applyFont="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5" fillId="0" borderId="0" xfId="1" applyNumberFormat="1" applyFont="1" applyFill="1" applyBorder="1" applyAlignment="1" applyProtection="1">
      <alignment horizontal="right" wrapText="1"/>
    </xf>
    <xf numFmtId="0" fontId="6" fillId="0" borderId="4" xfId="1" applyFont="1" applyBorder="1" applyAlignment="1">
      <alignment horizontal="center" vertical="center" wrapText="1"/>
    </xf>
    <xf numFmtId="0" fontId="6" fillId="0" borderId="5" xfId="1" applyFont="1" applyBorder="1" applyAlignment="1">
      <alignment horizontal="center" vertical="center" wrapText="1"/>
    </xf>
    <xf numFmtId="0" fontId="6" fillId="0" borderId="6" xfId="1" applyFont="1" applyBorder="1" applyAlignment="1">
      <alignment horizontal="center" vertical="center" wrapText="1"/>
    </xf>
    <xf numFmtId="0" fontId="7" fillId="0" borderId="4" xfId="1" applyFont="1" applyBorder="1" applyAlignment="1">
      <alignment horizontal="center" vertical="center" wrapText="1"/>
    </xf>
    <xf numFmtId="0" fontId="7" fillId="0" borderId="5" xfId="1" applyFont="1" applyBorder="1" applyAlignment="1">
      <alignment horizontal="center" vertical="center" wrapText="1"/>
    </xf>
    <xf numFmtId="0" fontId="7" fillId="0" borderId="6" xfId="1" applyFont="1" applyBorder="1" applyAlignment="1">
      <alignment horizontal="center" vertical="center" wrapText="1"/>
    </xf>
    <xf numFmtId="0" fontId="6" fillId="0" borderId="7" xfId="1" applyFont="1" applyBorder="1" applyAlignment="1">
      <alignment horizontal="center" vertical="center" wrapText="1"/>
    </xf>
    <xf numFmtId="0" fontId="6" fillId="0" borderId="8" xfId="1" applyFont="1" applyBorder="1" applyAlignment="1">
      <alignment horizontal="center" vertical="center" wrapText="1"/>
    </xf>
    <xf numFmtId="0" fontId="6" fillId="0" borderId="9" xfId="1" applyFont="1" applyBorder="1" applyAlignment="1">
      <alignment horizontal="center" vertical="center" wrapText="1"/>
    </xf>
    <xf numFmtId="0" fontId="5" fillId="0" borderId="4" xfId="1" applyFont="1" applyBorder="1" applyAlignment="1">
      <alignment horizontal="center" vertical="center" wrapText="1"/>
    </xf>
    <xf numFmtId="0" fontId="5" fillId="0" borderId="5" xfId="1" applyFont="1" applyBorder="1" applyAlignment="1">
      <alignment horizontal="center" vertical="center" wrapText="1"/>
    </xf>
    <xf numFmtId="0" fontId="5" fillId="0" borderId="6" xfId="1" applyFont="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7" fillId="0" borderId="9" xfId="1" applyFont="1" applyBorder="1" applyAlignment="1">
      <alignment horizontal="center" vertical="center" wrapText="1"/>
    </xf>
    <xf numFmtId="0" fontId="5" fillId="0" borderId="7" xfId="1" applyFont="1" applyBorder="1" applyAlignment="1">
      <alignment horizontal="center" vertical="center" wrapText="1"/>
    </xf>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8" fillId="0" borderId="4" xfId="1" applyFont="1" applyBorder="1" applyAlignment="1">
      <alignment horizontal="center" vertical="center" wrapText="1"/>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8" fillId="0" borderId="7" xfId="1" applyFont="1" applyBorder="1" applyAlignment="1">
      <alignment horizontal="center" vertical="center" wrapText="1"/>
    </xf>
    <xf numFmtId="0" fontId="8" fillId="0" borderId="8" xfId="1" applyFont="1" applyBorder="1" applyAlignment="1">
      <alignment horizontal="center" vertical="center" wrapText="1"/>
    </xf>
    <xf numFmtId="0" fontId="8" fillId="0" borderId="9" xfId="1" applyFont="1" applyBorder="1" applyAlignment="1">
      <alignment horizontal="center" vertical="center" wrapText="1"/>
    </xf>
    <xf numFmtId="0" fontId="9" fillId="0" borderId="1" xfId="1" applyFont="1" applyBorder="1" applyAlignment="1">
      <alignment horizontal="center" vertical="center" wrapText="1"/>
    </xf>
    <xf numFmtId="0" fontId="9" fillId="0" borderId="2" xfId="1" applyFont="1" applyBorder="1" applyAlignment="1">
      <alignment horizontal="center" vertical="center" wrapText="1"/>
    </xf>
    <xf numFmtId="0" fontId="9" fillId="0" borderId="3" xfId="1" applyFont="1" applyBorder="1" applyAlignment="1">
      <alignment horizontal="center" vertical="center" wrapText="1"/>
    </xf>
    <xf numFmtId="0" fontId="10" fillId="0" borderId="10" xfId="1" applyFont="1" applyBorder="1" applyAlignment="1">
      <alignment horizontal="center" vertical="center" wrapText="1"/>
    </xf>
    <xf numFmtId="0" fontId="10" fillId="0" borderId="11" xfId="1" applyFont="1" applyBorder="1" applyAlignment="1">
      <alignment horizontal="center" vertical="center" wrapText="1"/>
    </xf>
    <xf numFmtId="0" fontId="10" fillId="0" borderId="12" xfId="1" applyFont="1" applyBorder="1" applyAlignment="1">
      <alignment horizontal="center" vertical="center" wrapText="1"/>
    </xf>
    <xf numFmtId="0" fontId="7" fillId="0" borderId="13" xfId="1" applyFont="1" applyBorder="1" applyAlignment="1">
      <alignment horizontal="left" vertical="center" wrapText="1"/>
    </xf>
    <xf numFmtId="0" fontId="7" fillId="0" borderId="14" xfId="1" applyFont="1" applyBorder="1" applyAlignment="1">
      <alignment horizontal="left" vertical="center" wrapText="1"/>
    </xf>
    <xf numFmtId="0" fontId="7" fillId="0" borderId="15" xfId="1" applyFont="1" applyBorder="1" applyAlignment="1">
      <alignment horizontal="left" vertical="center" wrapText="1"/>
    </xf>
    <xf numFmtId="0" fontId="9" fillId="0" borderId="10" xfId="1" applyFont="1" applyBorder="1" applyAlignment="1">
      <alignment horizontal="center" vertical="center" wrapText="1"/>
    </xf>
    <xf numFmtId="0" fontId="9" fillId="0" borderId="11" xfId="1" applyFont="1" applyBorder="1" applyAlignment="1">
      <alignment horizontal="center" vertical="center" wrapText="1"/>
    </xf>
    <xf numFmtId="0" fontId="9" fillId="0" borderId="12" xfId="1" applyFont="1" applyBorder="1" applyAlignment="1">
      <alignment horizontal="center" vertical="center" wrapText="1"/>
    </xf>
    <xf numFmtId="0" fontId="11" fillId="0" borderId="10" xfId="1" applyFont="1" applyBorder="1" applyAlignment="1">
      <alignment horizontal="center" vertical="center" wrapText="1"/>
    </xf>
    <xf numFmtId="0" fontId="11" fillId="0" borderId="11" xfId="1" applyFont="1" applyBorder="1" applyAlignment="1">
      <alignment horizontal="center" vertical="center" wrapText="1"/>
    </xf>
    <xf numFmtId="0" fontId="11" fillId="0" borderId="12" xfId="1" applyFont="1" applyBorder="1" applyAlignment="1">
      <alignment horizontal="center" vertical="center" wrapText="1"/>
    </xf>
    <xf numFmtId="0" fontId="10" fillId="0" borderId="16" xfId="1" applyFont="1" applyBorder="1" applyAlignment="1">
      <alignment horizontal="center" vertical="center" wrapText="1"/>
    </xf>
    <xf numFmtId="0" fontId="10" fillId="0" borderId="17" xfId="1" applyFont="1" applyBorder="1" applyAlignment="1">
      <alignment horizontal="center" vertical="center" wrapText="1"/>
    </xf>
    <xf numFmtId="0" fontId="12" fillId="0" borderId="18" xfId="1" applyFont="1" applyBorder="1" applyAlignment="1" applyProtection="1">
      <alignment horizontal="center" vertical="center" wrapText="1"/>
      <protection locked="0" hidden="1"/>
    </xf>
    <xf numFmtId="0" fontId="12" fillId="0" borderId="3" xfId="1" applyFont="1" applyBorder="1" applyAlignment="1" applyProtection="1">
      <alignment horizontal="center" vertical="center" wrapText="1"/>
      <protection locked="0" hidden="1"/>
    </xf>
    <xf numFmtId="0" fontId="12" fillId="0" borderId="19" xfId="1" applyNumberFormat="1" applyFont="1" applyFill="1" applyBorder="1" applyAlignment="1" applyProtection="1">
      <alignment horizontal="center" vertical="center" wrapText="1"/>
      <protection locked="0" hidden="1"/>
    </xf>
    <xf numFmtId="0" fontId="12" fillId="0" borderId="1" xfId="1" applyFont="1" applyBorder="1" applyAlignment="1" applyProtection="1">
      <alignment horizontal="center" vertical="center" wrapText="1"/>
      <protection locked="0" hidden="1"/>
    </xf>
    <xf numFmtId="0" fontId="12" fillId="0" borderId="2" xfId="1" applyFont="1" applyBorder="1" applyAlignment="1" applyProtection="1">
      <alignment horizontal="center" vertical="center" wrapText="1"/>
      <protection locked="0" hidden="1"/>
    </xf>
    <xf numFmtId="0" fontId="12" fillId="0" borderId="20" xfId="1" applyNumberFormat="1" applyFont="1" applyFill="1" applyBorder="1" applyAlignment="1" applyProtection="1">
      <alignment horizontal="center" vertical="center" wrapText="1"/>
      <protection locked="0" hidden="1"/>
    </xf>
    <xf numFmtId="0" fontId="9" fillId="0" borderId="21" xfId="1" applyFont="1" applyBorder="1" applyAlignment="1">
      <alignment horizontal="center" vertical="center" wrapText="1"/>
    </xf>
    <xf numFmtId="0" fontId="9" fillId="0" borderId="22" xfId="1" applyFont="1" applyBorder="1" applyAlignment="1">
      <alignment horizontal="center" vertical="center" wrapText="1"/>
    </xf>
    <xf numFmtId="0" fontId="9" fillId="0" borderId="23" xfId="1" applyFont="1" applyBorder="1" applyAlignment="1">
      <alignment horizontal="center" vertical="center" wrapText="1"/>
    </xf>
    <xf numFmtId="0" fontId="11" fillId="0" borderId="16" xfId="1" applyFont="1" applyBorder="1" applyAlignment="1">
      <alignment horizontal="center" vertical="center" wrapText="1"/>
    </xf>
    <xf numFmtId="0" fontId="11" fillId="0" borderId="17" xfId="1" applyFont="1" applyBorder="1" applyAlignment="1">
      <alignment horizontal="center" vertical="center" wrapText="1"/>
    </xf>
    <xf numFmtId="0" fontId="10" fillId="0" borderId="21" xfId="1" applyFont="1" applyBorder="1" applyAlignment="1">
      <alignment horizontal="center" vertical="center" wrapText="1"/>
    </xf>
    <xf numFmtId="0" fontId="10" fillId="0" borderId="22" xfId="1" applyFont="1" applyBorder="1" applyAlignment="1">
      <alignment horizontal="center" vertical="center" wrapText="1"/>
    </xf>
    <xf numFmtId="0" fontId="10" fillId="0" borderId="23" xfId="1" applyFont="1" applyBorder="1" applyAlignment="1">
      <alignment horizontal="center" vertical="center" wrapText="1"/>
    </xf>
    <xf numFmtId="0" fontId="7" fillId="0" borderId="24" xfId="1" applyFont="1" applyBorder="1" applyAlignment="1" applyProtection="1">
      <alignment horizontal="center" vertical="center" wrapText="1"/>
      <protection locked="0" hidden="1"/>
    </xf>
    <xf numFmtId="0" fontId="7" fillId="0" borderId="25" xfId="1" applyFont="1" applyBorder="1" applyAlignment="1" applyProtection="1">
      <alignment horizontal="center" vertical="center" wrapText="1"/>
      <protection locked="0" hidden="1"/>
    </xf>
    <xf numFmtId="0" fontId="7" fillId="0" borderId="26" xfId="1" applyNumberFormat="1" applyFont="1" applyFill="1" applyBorder="1" applyAlignment="1" applyProtection="1">
      <alignment horizontal="center" vertical="center" wrapText="1"/>
      <protection locked="0" hidden="1"/>
    </xf>
    <xf numFmtId="0" fontId="7" fillId="0" borderId="27" xfId="1" applyFont="1" applyBorder="1" applyAlignment="1" applyProtection="1">
      <alignment horizontal="center" vertical="center" wrapText="1"/>
      <protection locked="0" hidden="1"/>
    </xf>
    <xf numFmtId="0" fontId="7" fillId="0" borderId="28" xfId="1" applyFont="1" applyBorder="1" applyAlignment="1" applyProtection="1">
      <alignment horizontal="center" vertical="center" wrapText="1"/>
      <protection locked="0" hidden="1"/>
    </xf>
    <xf numFmtId="0" fontId="7" fillId="0" borderId="29" xfId="1" applyNumberFormat="1" applyFont="1" applyFill="1" applyBorder="1" applyAlignment="1" applyProtection="1">
      <alignment horizontal="center" vertical="center" wrapText="1"/>
      <protection locked="0" hidden="1"/>
    </xf>
    <xf numFmtId="0" fontId="11" fillId="0" borderId="30" xfId="1" applyFont="1" applyBorder="1" applyAlignment="1">
      <alignment horizontal="center" vertical="center" wrapText="1"/>
    </xf>
    <xf numFmtId="0" fontId="11" fillId="0" borderId="31" xfId="1" applyFont="1" applyBorder="1" applyAlignment="1">
      <alignment horizontal="center" vertical="center" wrapText="1"/>
    </xf>
    <xf numFmtId="0" fontId="11" fillId="0" borderId="32" xfId="1" applyFont="1" applyBorder="1" applyAlignment="1">
      <alignment horizontal="center" vertical="center" wrapText="1"/>
    </xf>
    <xf numFmtId="0" fontId="11" fillId="0" borderId="21" xfId="1" applyFont="1" applyBorder="1" applyAlignment="1">
      <alignment horizontal="center" vertical="center" wrapText="1"/>
    </xf>
    <xf numFmtId="0" fontId="11" fillId="0" borderId="22" xfId="1" applyFont="1" applyBorder="1" applyAlignment="1">
      <alignment horizontal="center" vertical="center" wrapText="1"/>
    </xf>
    <xf numFmtId="0" fontId="11" fillId="0" borderId="23" xfId="1" applyFont="1" applyBorder="1" applyAlignment="1">
      <alignment horizontal="center" vertical="center" wrapText="1"/>
    </xf>
    <xf numFmtId="164" fontId="6" fillId="0" borderId="18" xfId="1" applyNumberFormat="1" applyFont="1" applyBorder="1" applyAlignment="1">
      <alignment horizontal="center" vertical="center" wrapText="1"/>
    </xf>
    <xf numFmtId="164" fontId="6" fillId="0" borderId="2" xfId="1" applyNumberFormat="1" applyFont="1" applyBorder="1" applyAlignment="1">
      <alignment horizontal="center" vertical="center" wrapText="1"/>
    </xf>
    <xf numFmtId="164" fontId="6" fillId="0" borderId="3" xfId="1" applyNumberFormat="1" applyFont="1" applyBorder="1" applyAlignment="1">
      <alignment horizontal="center" vertical="center" wrapText="1"/>
    </xf>
    <xf numFmtId="0" fontId="6" fillId="0" borderId="1" xfId="1" applyFont="1" applyBorder="1" applyAlignment="1" applyProtection="1">
      <alignment horizontal="left" vertical="center" wrapText="1"/>
      <protection hidden="1"/>
    </xf>
    <xf numFmtId="0" fontId="6" fillId="0" borderId="2" xfId="1" applyFont="1" applyBorder="1" applyAlignment="1" applyProtection="1">
      <alignment horizontal="left" vertical="center" wrapText="1"/>
      <protection hidden="1"/>
    </xf>
    <xf numFmtId="0" fontId="6" fillId="0" borderId="3" xfId="1" applyFont="1" applyBorder="1" applyAlignment="1" applyProtection="1">
      <alignment horizontal="left" vertical="center" wrapText="1"/>
      <protection hidden="1"/>
    </xf>
    <xf numFmtId="0" fontId="2" fillId="0" borderId="18" xfId="1" applyFont="1" applyBorder="1" applyAlignment="1" applyProtection="1">
      <alignment horizontal="center" vertical="center" wrapText="1"/>
      <protection locked="0" hidden="1"/>
    </xf>
    <xf numFmtId="0" fontId="2" fillId="0" borderId="3" xfId="1" applyFont="1" applyBorder="1" applyAlignment="1" applyProtection="1">
      <alignment horizontal="center" vertical="center" wrapText="1"/>
      <protection locked="0" hidden="1"/>
    </xf>
    <xf numFmtId="0" fontId="2" fillId="0" borderId="19" xfId="1" applyNumberFormat="1" applyFont="1" applyFill="1" applyBorder="1" applyAlignment="1" applyProtection="1">
      <alignment horizontal="center" vertical="center" wrapText="1"/>
      <protection locked="0" hidden="1"/>
    </xf>
    <xf numFmtId="0" fontId="2" fillId="0" borderId="1" xfId="1" applyFont="1" applyBorder="1" applyAlignment="1" applyProtection="1">
      <alignment horizontal="center" vertical="center" wrapText="1"/>
      <protection locked="0" hidden="1"/>
    </xf>
    <xf numFmtId="0" fontId="2" fillId="0" borderId="2" xfId="1" applyFont="1" applyBorder="1" applyAlignment="1" applyProtection="1">
      <alignment horizontal="center" vertical="center" wrapText="1"/>
      <protection locked="0" hidden="1"/>
    </xf>
    <xf numFmtId="0" fontId="2" fillId="0" borderId="33" xfId="1" applyNumberFormat="1" applyFont="1" applyFill="1" applyBorder="1" applyAlignment="1" applyProtection="1">
      <alignment horizontal="center" vertical="center" wrapText="1"/>
      <protection locked="0" hidden="1"/>
    </xf>
    <xf numFmtId="0" fontId="2" fillId="0" borderId="34" xfId="1" applyFont="1" applyBorder="1" applyAlignment="1" applyProtection="1">
      <alignment horizontal="center" vertical="center" wrapText="1"/>
      <protection locked="0" hidden="1"/>
    </xf>
    <xf numFmtId="0" fontId="2" fillId="0" borderId="20" xfId="1" applyNumberFormat="1" applyFont="1" applyFill="1" applyBorder="1" applyAlignment="1" applyProtection="1">
      <alignment horizontal="center" vertical="center" wrapText="1"/>
      <protection locked="0" hidden="1"/>
    </xf>
    <xf numFmtId="0" fontId="13" fillId="0" borderId="18" xfId="1" applyFont="1" applyBorder="1" applyAlignment="1">
      <alignment horizontal="center" vertical="center" wrapText="1"/>
    </xf>
    <xf numFmtId="0" fontId="13" fillId="0" borderId="2" xfId="1" applyFont="1" applyBorder="1" applyAlignment="1">
      <alignment horizontal="center" vertical="center" wrapText="1"/>
    </xf>
    <xf numFmtId="0" fontId="13" fillId="0" borderId="34" xfId="1" applyFont="1" applyBorder="1" applyAlignment="1">
      <alignment horizontal="center" vertical="center" wrapText="1"/>
    </xf>
    <xf numFmtId="0" fontId="14" fillId="0" borderId="1" xfId="1" applyFont="1" applyBorder="1" applyAlignment="1">
      <alignment horizontal="center" vertical="center" wrapText="1"/>
    </xf>
    <xf numFmtId="0" fontId="14" fillId="0" borderId="2" xfId="1" applyFont="1" applyBorder="1" applyAlignment="1">
      <alignment horizontal="center" vertical="center" wrapText="1"/>
    </xf>
    <xf numFmtId="0" fontId="14" fillId="0" borderId="34" xfId="1" applyFont="1" applyBorder="1" applyAlignment="1">
      <alignment horizontal="center" vertical="center" wrapText="1"/>
    </xf>
    <xf numFmtId="0" fontId="6" fillId="0" borderId="24" xfId="1" applyFont="1" applyBorder="1" applyAlignment="1">
      <alignment horizontal="center" vertical="center" wrapText="1"/>
    </xf>
    <xf numFmtId="0" fontId="6" fillId="0" borderId="28" xfId="1" applyFont="1" applyBorder="1" applyAlignment="1">
      <alignment horizontal="center" vertical="center" wrapText="1"/>
    </xf>
    <xf numFmtId="0" fontId="6" fillId="0" borderId="25" xfId="1" applyFont="1" applyBorder="1" applyAlignment="1">
      <alignment horizontal="center" vertical="center" wrapText="1"/>
    </xf>
    <xf numFmtId="0" fontId="6" fillId="0" borderId="35" xfId="1" applyFont="1" applyBorder="1" applyAlignment="1" applyProtection="1">
      <alignment horizontal="center" vertical="center" wrapText="1"/>
      <protection hidden="1"/>
    </xf>
    <xf numFmtId="0" fontId="6" fillId="0" borderId="36" xfId="1" applyFont="1" applyBorder="1" applyAlignment="1" applyProtection="1">
      <alignment horizontal="center" vertical="center" wrapText="1"/>
      <protection hidden="1"/>
    </xf>
    <xf numFmtId="0" fontId="6" fillId="0" borderId="37" xfId="1" applyFont="1" applyBorder="1" applyAlignment="1" applyProtection="1">
      <alignment horizontal="center" vertical="center" wrapText="1"/>
      <protection hidden="1"/>
    </xf>
    <xf numFmtId="0" fontId="2" fillId="0" borderId="24" xfId="1" applyFont="1" applyBorder="1" applyAlignment="1" applyProtection="1">
      <alignment horizontal="center" vertical="center" wrapText="1"/>
      <protection locked="0" hidden="1"/>
    </xf>
    <xf numFmtId="0" fontId="2" fillId="0" borderId="25" xfId="1" applyFont="1" applyBorder="1" applyAlignment="1" applyProtection="1">
      <alignment horizontal="center" vertical="center" wrapText="1"/>
      <protection locked="0" hidden="1"/>
    </xf>
    <xf numFmtId="0" fontId="2" fillId="0" borderId="26" xfId="1" applyNumberFormat="1" applyFont="1" applyFill="1" applyBorder="1" applyAlignment="1" applyProtection="1">
      <alignment horizontal="center" vertical="center" wrapText="1"/>
      <protection locked="0" hidden="1"/>
    </xf>
    <xf numFmtId="0" fontId="2" fillId="0" borderId="27" xfId="1" applyFont="1" applyBorder="1" applyAlignment="1" applyProtection="1">
      <alignment horizontal="center" vertical="center" wrapText="1"/>
      <protection locked="0" hidden="1"/>
    </xf>
    <xf numFmtId="0" fontId="2" fillId="0" borderId="28" xfId="1" applyFont="1" applyBorder="1" applyAlignment="1" applyProtection="1">
      <alignment horizontal="center" vertical="center" wrapText="1"/>
      <protection locked="0" hidden="1"/>
    </xf>
    <xf numFmtId="0" fontId="2" fillId="0" borderId="38" xfId="1" applyNumberFormat="1" applyFont="1" applyFill="1" applyBorder="1" applyAlignment="1" applyProtection="1">
      <alignment horizontal="center" vertical="center" wrapText="1"/>
      <protection locked="0" hidden="1"/>
    </xf>
    <xf numFmtId="0" fontId="2" fillId="0" borderId="39" xfId="1" applyFont="1" applyBorder="1" applyAlignment="1" applyProtection="1">
      <alignment horizontal="center" vertical="center" wrapText="1"/>
      <protection locked="0" hidden="1"/>
    </xf>
    <xf numFmtId="0" fontId="13" fillId="0" borderId="24" xfId="1" applyFont="1" applyBorder="1" applyAlignment="1">
      <alignment horizontal="center" vertical="center" wrapText="1"/>
    </xf>
    <xf numFmtId="0" fontId="13" fillId="0" borderId="28" xfId="1" applyFont="1" applyBorder="1" applyAlignment="1">
      <alignment horizontal="center" vertical="center" wrapText="1"/>
    </xf>
    <xf numFmtId="0" fontId="13" fillId="0" borderId="39" xfId="1" applyFont="1" applyBorder="1" applyAlignment="1">
      <alignment horizontal="center" vertical="center" wrapText="1"/>
    </xf>
    <xf numFmtId="0" fontId="14" fillId="0" borderId="24" xfId="1" applyFont="1" applyBorder="1" applyAlignment="1">
      <alignment horizontal="center" vertical="center" wrapText="1"/>
    </xf>
    <xf numFmtId="0" fontId="14" fillId="0" borderId="28" xfId="1" applyFont="1" applyBorder="1" applyAlignment="1">
      <alignment horizontal="center" vertical="center" wrapText="1"/>
    </xf>
    <xf numFmtId="0" fontId="14" fillId="0" borderId="39" xfId="1" applyFont="1" applyBorder="1" applyAlignment="1">
      <alignment horizontal="center" vertical="center" wrapText="1"/>
    </xf>
    <xf numFmtId="0" fontId="6" fillId="0" borderId="40" xfId="1" applyFont="1" applyBorder="1" applyAlignment="1">
      <alignment horizontal="center" vertical="center" wrapText="1"/>
    </xf>
    <xf numFmtId="0" fontId="6" fillId="0" borderId="4" xfId="1" applyFont="1" applyBorder="1" applyAlignment="1" applyProtection="1">
      <alignment horizontal="center" vertical="center" wrapText="1"/>
      <protection hidden="1"/>
    </xf>
    <xf numFmtId="0" fontId="6" fillId="0" borderId="5" xfId="1" applyFont="1" applyBorder="1" applyAlignment="1" applyProtection="1">
      <alignment horizontal="center" vertical="center" wrapText="1"/>
      <protection hidden="1"/>
    </xf>
    <xf numFmtId="0" fontId="6" fillId="0" borderId="6" xfId="1" applyFont="1" applyBorder="1" applyAlignment="1" applyProtection="1">
      <alignment horizontal="center" vertical="center" wrapText="1"/>
      <protection hidden="1"/>
    </xf>
    <xf numFmtId="0" fontId="6" fillId="0" borderId="21" xfId="1" applyFont="1" applyBorder="1" applyAlignment="1">
      <alignment horizontal="center" vertical="center" wrapText="1"/>
    </xf>
    <xf numFmtId="0" fontId="6" fillId="0" borderId="22" xfId="1" applyFont="1" applyBorder="1" applyAlignment="1">
      <alignment horizontal="center" vertical="center" wrapText="1"/>
    </xf>
    <xf numFmtId="0" fontId="6" fillId="0" borderId="41" xfId="1" applyFont="1" applyBorder="1" applyAlignment="1">
      <alignment horizontal="center" vertical="center" wrapText="1"/>
    </xf>
    <xf numFmtId="0" fontId="6" fillId="0" borderId="42" xfId="1" applyFont="1" applyBorder="1" applyAlignment="1" applyProtection="1">
      <alignment horizontal="center" vertical="center" wrapText="1"/>
      <protection hidden="1"/>
    </xf>
    <xf numFmtId="0" fontId="6" fillId="0" borderId="22" xfId="1" applyFont="1" applyBorder="1" applyAlignment="1" applyProtection="1">
      <alignment horizontal="center" vertical="center" wrapText="1"/>
      <protection hidden="1"/>
    </xf>
    <xf numFmtId="0" fontId="6" fillId="0" borderId="41" xfId="1" applyFont="1" applyBorder="1" applyAlignment="1" applyProtection="1">
      <alignment horizontal="center" vertical="center" wrapText="1"/>
      <protection hidden="1"/>
    </xf>
    <xf numFmtId="0" fontId="11" fillId="0" borderId="4" xfId="1" applyFont="1" applyBorder="1" applyAlignment="1">
      <alignment horizontal="left" vertical="center" wrapText="1"/>
    </xf>
    <xf numFmtId="0" fontId="11" fillId="0" borderId="5" xfId="1" applyFont="1" applyBorder="1" applyAlignment="1">
      <alignment horizontal="left" vertical="center" wrapText="1"/>
    </xf>
    <xf numFmtId="0" fontId="11" fillId="0" borderId="6" xfId="1" applyFont="1" applyBorder="1" applyAlignment="1">
      <alignment horizontal="left" vertical="center" wrapText="1"/>
    </xf>
    <xf numFmtId="0" fontId="10" fillId="0" borderId="10" xfId="1" applyFont="1" applyBorder="1" applyAlignment="1">
      <alignment horizontal="center" vertical="top" wrapText="1"/>
    </xf>
    <xf numFmtId="0" fontId="10" fillId="0" borderId="11" xfId="1" applyFont="1" applyBorder="1" applyAlignment="1">
      <alignment horizontal="center" vertical="top" wrapText="1"/>
    </xf>
    <xf numFmtId="0" fontId="10" fillId="0" borderId="43" xfId="1" applyFont="1" applyBorder="1" applyAlignment="1">
      <alignment horizontal="left" vertical="top" wrapText="1"/>
    </xf>
    <xf numFmtId="0" fontId="10" fillId="0" borderId="44" xfId="1" applyFont="1" applyBorder="1" applyAlignment="1">
      <alignment horizontal="left" vertical="top" wrapText="1"/>
    </xf>
    <xf numFmtId="0" fontId="10" fillId="0" borderId="45" xfId="1" applyFont="1" applyBorder="1" applyAlignment="1">
      <alignment horizontal="left" vertical="top" wrapText="1"/>
    </xf>
    <xf numFmtId="0" fontId="11" fillId="0" borderId="46" xfId="1" applyFont="1" applyBorder="1" applyAlignment="1">
      <alignment horizontal="left" vertical="center" wrapText="1"/>
    </xf>
    <xf numFmtId="0" fontId="11" fillId="0" borderId="0" xfId="1" applyFont="1" applyBorder="1" applyAlignment="1">
      <alignment horizontal="left" vertical="center" wrapText="1"/>
    </xf>
    <xf numFmtId="0" fontId="11" fillId="0" borderId="47" xfId="1" applyFont="1" applyBorder="1" applyAlignment="1">
      <alignment horizontal="left" vertical="center" wrapText="1"/>
    </xf>
    <xf numFmtId="0" fontId="10" fillId="0" borderId="16" xfId="1" applyFont="1" applyBorder="1" applyAlignment="1">
      <alignment horizontal="center" vertical="top" wrapText="1"/>
    </xf>
    <xf numFmtId="0" fontId="10" fillId="0" borderId="0" xfId="1" applyFont="1" applyBorder="1" applyAlignment="1">
      <alignment horizontal="center" vertical="top" wrapText="1"/>
    </xf>
    <xf numFmtId="0" fontId="10" fillId="0" borderId="48" xfId="1" applyFont="1" applyBorder="1" applyAlignment="1">
      <alignment horizontal="left" vertical="top" wrapText="1"/>
    </xf>
    <xf numFmtId="0" fontId="10" fillId="0" borderId="0" xfId="1" applyFont="1" applyBorder="1" applyAlignment="1">
      <alignment horizontal="left" vertical="top" wrapText="1"/>
    </xf>
    <xf numFmtId="0" fontId="10" fillId="0" borderId="49" xfId="1" applyFont="1" applyBorder="1" applyAlignment="1">
      <alignment horizontal="left" vertical="top" wrapText="1"/>
    </xf>
    <xf numFmtId="0" fontId="11" fillId="0" borderId="8" xfId="1" applyFont="1" applyBorder="1" applyAlignment="1">
      <alignment horizontal="center" vertical="center" wrapText="1"/>
    </xf>
    <xf numFmtId="0" fontId="11" fillId="0" borderId="50" xfId="1" applyFont="1" applyBorder="1" applyAlignment="1">
      <alignment horizontal="center" vertical="center" wrapText="1"/>
    </xf>
    <xf numFmtId="0" fontId="7" fillId="0" borderId="0" xfId="1" applyNumberFormat="1" applyFont="1" applyFill="1" applyBorder="1" applyAlignment="1" applyProtection="1">
      <alignment horizontal="left" vertical="top" wrapText="1"/>
    </xf>
    <xf numFmtId="0" fontId="15" fillId="0" borderId="46" xfId="1" applyFont="1" applyBorder="1" applyAlignment="1">
      <alignment horizontal="center" vertical="top" wrapText="1"/>
    </xf>
    <xf numFmtId="0" fontId="15" fillId="0" borderId="0" xfId="1" applyFont="1" applyBorder="1" applyAlignment="1">
      <alignment horizontal="center" vertical="top" wrapText="1"/>
    </xf>
    <xf numFmtId="0" fontId="15" fillId="0" borderId="47" xfId="1" applyFont="1" applyBorder="1" applyAlignment="1">
      <alignment horizontal="center" vertical="top" wrapText="1"/>
    </xf>
    <xf numFmtId="0" fontId="10" fillId="0" borderId="21" xfId="1" applyFont="1" applyBorder="1" applyAlignment="1">
      <alignment horizontal="center" vertical="top" wrapText="1"/>
    </xf>
    <xf numFmtId="0" fontId="10" fillId="0" borderId="22" xfId="1" applyFont="1" applyBorder="1" applyAlignment="1">
      <alignment horizontal="center" vertical="top" wrapText="1"/>
    </xf>
    <xf numFmtId="0" fontId="10" fillId="0" borderId="51" xfId="1" applyFont="1" applyBorder="1" applyAlignment="1">
      <alignment horizontal="center" vertical="top" wrapText="1"/>
    </xf>
    <xf numFmtId="0" fontId="10" fillId="0" borderId="52" xfId="1" applyFont="1" applyBorder="1" applyAlignment="1">
      <alignment horizontal="center" vertical="top"/>
    </xf>
    <xf numFmtId="0" fontId="10" fillId="0" borderId="53" xfId="1" applyFont="1" applyBorder="1" applyAlignment="1">
      <alignment horizontal="center" vertical="top"/>
    </xf>
    <xf numFmtId="1" fontId="10" fillId="0" borderId="53" xfId="1" applyNumberFormat="1" applyFont="1" applyBorder="1" applyAlignment="1">
      <alignment horizontal="center" vertical="top" wrapText="1"/>
    </xf>
    <xf numFmtId="0" fontId="10" fillId="0" borderId="53" xfId="1" applyFont="1" applyBorder="1" applyAlignment="1">
      <alignment horizontal="center" vertical="top" wrapText="1"/>
    </xf>
    <xf numFmtId="0" fontId="10" fillId="0" borderId="54" xfId="1" applyFont="1" applyBorder="1" applyAlignment="1">
      <alignment horizontal="center" vertical="top" wrapText="1"/>
    </xf>
    <xf numFmtId="0" fontId="11" fillId="0" borderId="25" xfId="1" applyNumberFormat="1" applyFont="1" applyFill="1" applyBorder="1" applyAlignment="1" applyProtection="1">
      <alignment horizontal="center" vertical="center" wrapText="1"/>
    </xf>
    <xf numFmtId="0" fontId="11" fillId="0" borderId="26" xfId="1" applyNumberFormat="1" applyFont="1" applyFill="1" applyBorder="1" applyAlignment="1" applyProtection="1">
      <alignment horizontal="center" vertical="center" wrapText="1"/>
    </xf>
    <xf numFmtId="0" fontId="11" fillId="0" borderId="27" xfId="1" applyFont="1" applyBorder="1" applyAlignment="1">
      <alignment horizontal="center" vertical="center" wrapText="1"/>
    </xf>
    <xf numFmtId="0" fontId="11" fillId="0" borderId="39" xfId="1" applyFont="1" applyBorder="1" applyAlignment="1">
      <alignment horizontal="center" vertical="center" wrapText="1"/>
    </xf>
    <xf numFmtId="0" fontId="7" fillId="0" borderId="16" xfId="1" applyFont="1" applyBorder="1" applyAlignment="1">
      <alignment horizontal="left" vertical="center" wrapText="1"/>
    </xf>
    <xf numFmtId="0" fontId="7" fillId="0" borderId="0" xfId="1" applyFont="1" applyBorder="1" applyAlignment="1">
      <alignment horizontal="left" vertical="center" wrapText="1"/>
    </xf>
    <xf numFmtId="0" fontId="7" fillId="0" borderId="47" xfId="1" applyFont="1" applyBorder="1" applyAlignment="1">
      <alignment horizontal="left" vertical="center" wrapText="1"/>
    </xf>
    <xf numFmtId="0" fontId="6" fillId="2" borderId="55" xfId="1" applyFont="1" applyFill="1" applyBorder="1" applyAlignment="1">
      <alignment horizontal="center" vertical="center" wrapText="1"/>
    </xf>
    <xf numFmtId="0" fontId="6" fillId="2" borderId="4" xfId="1" applyFont="1" applyFill="1" applyBorder="1" applyAlignment="1">
      <alignment horizontal="center" vertical="center" wrapText="1"/>
    </xf>
    <xf numFmtId="0" fontId="6" fillId="2" borderId="56" xfId="1" applyFont="1" applyFill="1" applyBorder="1" applyAlignment="1">
      <alignment horizontal="center" vertical="center" wrapText="1"/>
    </xf>
    <xf numFmtId="0" fontId="7" fillId="0" borderId="57" xfId="1" applyFont="1" applyBorder="1" applyAlignment="1">
      <alignment horizontal="left" vertical="center" wrapText="1"/>
    </xf>
    <xf numFmtId="0" fontId="7" fillId="0" borderId="8" xfId="1" applyFont="1" applyBorder="1" applyAlignment="1">
      <alignment horizontal="left" vertical="center" wrapText="1"/>
    </xf>
    <xf numFmtId="0" fontId="7" fillId="0" borderId="9" xfId="1" applyFont="1" applyBorder="1" applyAlignment="1">
      <alignment horizontal="left" vertical="center" wrapText="1"/>
    </xf>
    <xf numFmtId="0" fontId="6" fillId="2" borderId="58" xfId="1" applyFont="1" applyFill="1" applyBorder="1" applyAlignment="1">
      <alignment horizontal="center" vertical="center" wrapText="1"/>
    </xf>
    <xf numFmtId="0" fontId="6" fillId="2" borderId="7" xfId="1" applyFont="1" applyFill="1" applyBorder="1" applyAlignment="1">
      <alignment horizontal="center" vertical="center" wrapText="1"/>
    </xf>
    <xf numFmtId="0" fontId="6" fillId="2" borderId="50" xfId="1" applyFont="1" applyFill="1" applyBorder="1" applyAlignment="1">
      <alignment horizontal="center" vertical="center" wrapText="1"/>
    </xf>
    <xf numFmtId="0" fontId="16" fillId="0" borderId="16" xfId="1" applyFont="1" applyBorder="1" applyAlignment="1">
      <alignment horizontal="left" vertical="center" wrapText="1"/>
    </xf>
    <xf numFmtId="0" fontId="16" fillId="0" borderId="0" xfId="1" applyFont="1" applyBorder="1" applyAlignment="1">
      <alignment horizontal="left" vertical="center" wrapText="1"/>
    </xf>
    <xf numFmtId="0" fontId="16" fillId="0" borderId="59" xfId="1" applyFont="1" applyBorder="1" applyAlignment="1">
      <alignment horizontal="left" vertical="center" wrapText="1"/>
    </xf>
    <xf numFmtId="0" fontId="17" fillId="0" borderId="0" xfId="1" applyFont="1" applyBorder="1" applyAlignment="1">
      <alignment horizontal="left" vertical="center" wrapText="1"/>
    </xf>
    <xf numFmtId="0" fontId="17" fillId="0" borderId="47" xfId="1" applyFont="1" applyBorder="1" applyAlignment="1">
      <alignment horizontal="left" vertical="center" wrapText="1"/>
    </xf>
    <xf numFmtId="0" fontId="6" fillId="2" borderId="60" xfId="1" applyFont="1" applyFill="1" applyBorder="1" applyAlignment="1">
      <alignment horizontal="center" vertical="center" wrapText="1"/>
    </xf>
    <xf numFmtId="0" fontId="6" fillId="2" borderId="46" xfId="1" applyFont="1" applyFill="1" applyBorder="1" applyAlignment="1">
      <alignment horizontal="center" vertical="center" wrapText="1"/>
    </xf>
    <xf numFmtId="0" fontId="6" fillId="2" borderId="17" xfId="1" applyFont="1" applyFill="1" applyBorder="1" applyAlignment="1">
      <alignment horizontal="center" vertical="center" wrapText="1"/>
    </xf>
    <xf numFmtId="0" fontId="7" fillId="0" borderId="0" xfId="1" applyNumberFormat="1" applyFont="1" applyFill="1" applyBorder="1" applyAlignment="1" applyProtection="1">
      <alignment horizontal="left" vertical="center" wrapText="1"/>
    </xf>
    <xf numFmtId="0" fontId="7" fillId="0" borderId="0" xfId="1" applyFont="1" applyBorder="1" applyAlignment="1">
      <alignment horizontal="center" vertical="center" wrapText="1"/>
    </xf>
    <xf numFmtId="0" fontId="7" fillId="0" borderId="0" xfId="1" applyNumberFormat="1" applyFont="1" applyFill="1" applyBorder="1" applyAlignment="1" applyProtection="1">
      <alignment horizontal="center" vertical="center" wrapText="1"/>
    </xf>
    <xf numFmtId="0" fontId="16" fillId="0" borderId="47" xfId="1" applyFont="1" applyBorder="1" applyAlignment="1">
      <alignment horizontal="left" vertical="center" wrapText="1"/>
    </xf>
    <xf numFmtId="0" fontId="15" fillId="0" borderId="46" xfId="1" applyFont="1" applyBorder="1" applyAlignment="1">
      <alignment horizontal="left" vertical="top" wrapText="1"/>
    </xf>
    <xf numFmtId="0" fontId="15" fillId="0" borderId="0" xfId="1" applyFont="1" applyBorder="1" applyAlignment="1">
      <alignment horizontal="left" vertical="top" wrapText="1"/>
    </xf>
    <xf numFmtId="0" fontId="15" fillId="0" borderId="47" xfId="1" applyFont="1" applyBorder="1" applyAlignment="1">
      <alignment horizontal="left" vertical="top" wrapText="1"/>
    </xf>
    <xf numFmtId="0" fontId="16" fillId="0" borderId="57" xfId="1" applyFont="1" applyBorder="1" applyAlignment="1">
      <alignment horizontal="left" vertical="center" wrapText="1"/>
    </xf>
    <xf numFmtId="0" fontId="16" fillId="0" borderId="8" xfId="1" applyFont="1" applyBorder="1" applyAlignment="1">
      <alignment horizontal="left" vertical="center" wrapText="1"/>
    </xf>
    <xf numFmtId="0" fontId="16" fillId="0" borderId="9" xfId="1" applyFont="1" applyBorder="1" applyAlignment="1">
      <alignment horizontal="left" vertical="center" wrapText="1"/>
    </xf>
    <xf numFmtId="0" fontId="16" fillId="0" borderId="40" xfId="1" applyFont="1" applyBorder="1" applyAlignment="1">
      <alignment horizontal="left" wrapText="1"/>
    </xf>
    <xf numFmtId="0" fontId="16" fillId="0" borderId="5" xfId="1" applyFont="1" applyBorder="1" applyAlignment="1">
      <alignment horizontal="left" wrapText="1"/>
    </xf>
    <xf numFmtId="0" fontId="16" fillId="0" borderId="6" xfId="1" applyFont="1" applyBorder="1" applyAlignment="1">
      <alignment horizontal="left" wrapText="1"/>
    </xf>
    <xf numFmtId="0" fontId="15" fillId="0" borderId="55" xfId="1" applyFont="1" applyBorder="1" applyAlignment="1">
      <alignment horizontal="center" vertical="center" wrapText="1"/>
    </xf>
    <xf numFmtId="0" fontId="15" fillId="0" borderId="4" xfId="1" applyFont="1" applyBorder="1" applyAlignment="1">
      <alignment horizontal="center" vertical="center" wrapText="1"/>
    </xf>
    <xf numFmtId="0" fontId="15" fillId="0" borderId="56" xfId="1" applyFont="1" applyBorder="1" applyAlignment="1">
      <alignment horizontal="center" vertical="center" wrapText="1"/>
    </xf>
    <xf numFmtId="0" fontId="17" fillId="0" borderId="57" xfId="1" applyFont="1" applyBorder="1" applyAlignment="1">
      <alignment horizontal="left" vertical="top" wrapText="1"/>
    </xf>
    <xf numFmtId="0" fontId="17" fillId="0" borderId="8" xfId="1" applyFont="1" applyBorder="1" applyAlignment="1">
      <alignment horizontal="left" vertical="top" wrapText="1"/>
    </xf>
    <xf numFmtId="0" fontId="17" fillId="0" borderId="9" xfId="1" applyFont="1" applyBorder="1" applyAlignment="1">
      <alignment horizontal="left" vertical="top" wrapText="1"/>
    </xf>
    <xf numFmtId="0" fontId="15" fillId="0" borderId="58" xfId="1" applyFont="1" applyBorder="1" applyAlignment="1">
      <alignment horizontal="center" vertical="center" wrapText="1"/>
    </xf>
    <xf numFmtId="0" fontId="15" fillId="0" borderId="7" xfId="1" applyFont="1" applyBorder="1" applyAlignment="1">
      <alignment horizontal="center" vertical="center" wrapText="1"/>
    </xf>
    <xf numFmtId="0" fontId="15" fillId="0" borderId="50" xfId="1" applyFont="1" applyBorder="1" applyAlignment="1">
      <alignment horizontal="center" vertical="center" wrapText="1"/>
    </xf>
    <xf numFmtId="9" fontId="15" fillId="0" borderId="55" xfId="1" applyNumberFormat="1" applyFont="1" applyBorder="1" applyAlignment="1">
      <alignment horizontal="center" vertical="center" wrapText="1"/>
    </xf>
    <xf numFmtId="9" fontId="15" fillId="0" borderId="4" xfId="1" applyNumberFormat="1" applyFont="1" applyBorder="1" applyAlignment="1">
      <alignment horizontal="center" vertical="center" wrapText="1"/>
    </xf>
    <xf numFmtId="1" fontId="15" fillId="0" borderId="55" xfId="2" applyNumberFormat="1" applyFont="1" applyBorder="1" applyAlignment="1">
      <alignment horizontal="center" vertical="center" wrapText="1"/>
    </xf>
    <xf numFmtId="1" fontId="15" fillId="0" borderId="55" xfId="1" applyNumberFormat="1" applyFont="1" applyBorder="1" applyAlignment="1">
      <alignment horizontal="center" vertical="center" wrapText="1"/>
    </xf>
    <xf numFmtId="1" fontId="15" fillId="0" borderId="4" xfId="1" applyNumberFormat="1" applyFont="1" applyBorder="1" applyAlignment="1">
      <alignment horizontal="center" vertical="center" wrapText="1"/>
    </xf>
    <xf numFmtId="1" fontId="15" fillId="0" borderId="56" xfId="1" applyNumberFormat="1" applyFont="1" applyBorder="1" applyAlignment="1">
      <alignment horizontal="center" vertical="center" wrapText="1"/>
    </xf>
    <xf numFmtId="0" fontId="7" fillId="0" borderId="0" xfId="1" applyNumberFormat="1" applyFont="1" applyFill="1" applyBorder="1" applyAlignment="1" applyProtection="1">
      <alignment horizontal="justify" vertical="top" wrapText="1"/>
    </xf>
    <xf numFmtId="1" fontId="15" fillId="0" borderId="58" xfId="2" applyNumberFormat="1" applyFont="1" applyBorder="1" applyAlignment="1">
      <alignment horizontal="center" vertical="center" wrapText="1"/>
    </xf>
    <xf numFmtId="1" fontId="15" fillId="0" borderId="58" xfId="1" applyNumberFormat="1" applyFont="1" applyBorder="1" applyAlignment="1">
      <alignment horizontal="center" vertical="center" wrapText="1"/>
    </xf>
    <xf numFmtId="1" fontId="15" fillId="0" borderId="7" xfId="1" applyNumberFormat="1" applyFont="1" applyBorder="1" applyAlignment="1">
      <alignment horizontal="center" vertical="center" wrapText="1"/>
    </xf>
    <xf numFmtId="1" fontId="15" fillId="0" borderId="50" xfId="1" applyNumberFormat="1" applyFont="1" applyBorder="1" applyAlignment="1">
      <alignment horizontal="center" vertical="center" wrapText="1"/>
    </xf>
    <xf numFmtId="9" fontId="15" fillId="0" borderId="19" xfId="1" applyNumberFormat="1" applyFont="1" applyFill="1" applyBorder="1" applyAlignment="1" applyProtection="1">
      <alignment horizontal="center" vertical="center" wrapText="1"/>
    </xf>
    <xf numFmtId="9" fontId="15" fillId="0" borderId="1" xfId="1" applyNumberFormat="1" applyFont="1" applyBorder="1" applyAlignment="1">
      <alignment horizontal="center" vertical="center" wrapText="1"/>
    </xf>
    <xf numFmtId="9" fontId="15" fillId="0" borderId="34" xfId="1" applyNumberFormat="1" applyFont="1" applyBorder="1" applyAlignment="1">
      <alignment horizontal="center" vertical="center" wrapText="1"/>
    </xf>
    <xf numFmtId="0" fontId="15" fillId="0" borderId="19" xfId="1" applyNumberFormat="1" applyFont="1" applyFill="1" applyBorder="1" applyAlignment="1" applyProtection="1">
      <alignment horizontal="center" vertical="center" wrapText="1"/>
    </xf>
    <xf numFmtId="0" fontId="15" fillId="0" borderId="1" xfId="1" applyFont="1" applyBorder="1" applyAlignment="1">
      <alignment horizontal="center" vertical="center" wrapText="1"/>
    </xf>
    <xf numFmtId="0" fontId="15" fillId="0" borderId="34" xfId="1" applyFont="1" applyBorder="1" applyAlignment="1">
      <alignment horizontal="center" vertical="center" wrapText="1"/>
    </xf>
    <xf numFmtId="0" fontId="11" fillId="3" borderId="16" xfId="1" applyFont="1" applyFill="1" applyBorder="1" applyAlignment="1">
      <alignment horizontal="center" vertical="center" wrapText="1"/>
    </xf>
    <xf numFmtId="0" fontId="11" fillId="3" borderId="0" xfId="1" applyFont="1" applyFill="1" applyBorder="1" applyAlignment="1">
      <alignment horizontal="center" vertical="center" wrapText="1"/>
    </xf>
    <xf numFmtId="0" fontId="11" fillId="3" borderId="47" xfId="1" applyFont="1" applyFill="1" applyBorder="1" applyAlignment="1">
      <alignment horizontal="center" vertical="center" wrapText="1"/>
    </xf>
    <xf numFmtId="0" fontId="15" fillId="3" borderId="55" xfId="1" applyFont="1" applyFill="1" applyBorder="1" applyAlignment="1">
      <alignment horizontal="center" vertical="center" wrapText="1"/>
    </xf>
    <xf numFmtId="0" fontId="15" fillId="3" borderId="4" xfId="1" applyFont="1" applyFill="1" applyBorder="1" applyAlignment="1">
      <alignment horizontal="center" vertical="center" wrapText="1"/>
    </xf>
    <xf numFmtId="0" fontId="15" fillId="3" borderId="56" xfId="1" applyFont="1" applyFill="1" applyBorder="1" applyAlignment="1">
      <alignment horizontal="center" vertical="center" wrapText="1"/>
    </xf>
    <xf numFmtId="0" fontId="11" fillId="3" borderId="57" xfId="1" applyFont="1" applyFill="1" applyBorder="1" applyAlignment="1">
      <alignment horizontal="center" vertical="center" wrapText="1"/>
    </xf>
    <xf numFmtId="0" fontId="11" fillId="3" borderId="8" xfId="1" applyFont="1" applyFill="1" applyBorder="1" applyAlignment="1">
      <alignment horizontal="center" vertical="center" wrapText="1"/>
    </xf>
    <xf numFmtId="0" fontId="11" fillId="3" borderId="9" xfId="1" applyFont="1" applyFill="1" applyBorder="1" applyAlignment="1">
      <alignment horizontal="center" vertical="center" wrapText="1"/>
    </xf>
    <xf numFmtId="0" fontId="15" fillId="3" borderId="58" xfId="1" applyFont="1" applyFill="1" applyBorder="1" applyAlignment="1">
      <alignment horizontal="center" vertical="center" wrapText="1"/>
    </xf>
    <xf numFmtId="0" fontId="15" fillId="3" borderId="7" xfId="1" applyFont="1" applyFill="1" applyBorder="1" applyAlignment="1">
      <alignment horizontal="center" vertical="center" wrapText="1"/>
    </xf>
    <xf numFmtId="0" fontId="15" fillId="3" borderId="50" xfId="1" applyFont="1" applyFill="1" applyBorder="1" applyAlignment="1">
      <alignment horizontal="center" vertical="center" wrapText="1"/>
    </xf>
    <xf numFmtId="0" fontId="15" fillId="0" borderId="40" xfId="1" applyFont="1" applyBorder="1" applyAlignment="1">
      <alignment horizontal="left" wrapText="1"/>
    </xf>
    <xf numFmtId="0" fontId="15" fillId="0" borderId="5" xfId="1" applyFont="1" applyBorder="1" applyAlignment="1">
      <alignment horizontal="left" wrapText="1"/>
    </xf>
    <xf numFmtId="0" fontId="15" fillId="0" borderId="6" xfId="1" applyFont="1" applyBorder="1" applyAlignment="1">
      <alignment horizontal="left" wrapText="1"/>
    </xf>
    <xf numFmtId="0" fontId="15" fillId="0" borderId="16" xfId="1" applyFont="1" applyBorder="1" applyAlignment="1">
      <alignment horizontal="left" wrapText="1"/>
    </xf>
    <xf numFmtId="0" fontId="15" fillId="0" borderId="0" xfId="1" applyFont="1" applyBorder="1" applyAlignment="1">
      <alignment horizontal="left" wrapText="1"/>
    </xf>
    <xf numFmtId="0" fontId="15" fillId="0" borderId="47" xfId="1" applyFont="1" applyBorder="1" applyAlignment="1">
      <alignment horizontal="left" wrapText="1"/>
    </xf>
    <xf numFmtId="0" fontId="15" fillId="0" borderId="60" xfId="1" applyFont="1" applyBorder="1" applyAlignment="1">
      <alignment horizontal="center" vertical="center" wrapText="1"/>
    </xf>
    <xf numFmtId="0" fontId="15" fillId="0" borderId="46" xfId="1" applyFont="1" applyBorder="1" applyAlignment="1">
      <alignment horizontal="center" vertical="center" wrapText="1"/>
    </xf>
    <xf numFmtId="0" fontId="15" fillId="0" borderId="17" xfId="1" applyFont="1" applyBorder="1" applyAlignment="1">
      <alignment horizontal="center" vertical="center" wrapText="1"/>
    </xf>
    <xf numFmtId="0" fontId="17" fillId="0" borderId="57" xfId="1" applyFont="1" applyBorder="1" applyAlignment="1">
      <alignment horizontal="center" vertical="top" wrapText="1"/>
    </xf>
    <xf numFmtId="0" fontId="17" fillId="0" borderId="8" xfId="1" applyFont="1" applyBorder="1" applyAlignment="1">
      <alignment horizontal="center" vertical="top" wrapText="1"/>
    </xf>
    <xf numFmtId="0" fontId="17" fillId="0" borderId="9" xfId="1" applyFont="1" applyBorder="1" applyAlignment="1">
      <alignment horizontal="center" vertical="top" wrapText="1"/>
    </xf>
    <xf numFmtId="0" fontId="17" fillId="0" borderId="16" xfId="1" applyFont="1" applyBorder="1" applyAlignment="1">
      <alignment horizontal="center" vertical="top" wrapText="1"/>
    </xf>
    <xf numFmtId="0" fontId="17" fillId="0" borderId="0" xfId="1" applyFont="1" applyBorder="1" applyAlignment="1">
      <alignment horizontal="center" vertical="top" wrapText="1"/>
    </xf>
    <xf numFmtId="0" fontId="17" fillId="0" borderId="47" xfId="1" applyFont="1" applyBorder="1" applyAlignment="1">
      <alignment horizontal="center" vertical="top" wrapText="1"/>
    </xf>
    <xf numFmtId="0" fontId="15" fillId="0" borderId="16" xfId="1" applyFont="1" applyBorder="1" applyAlignment="1">
      <alignment horizontal="left" vertical="center" wrapText="1"/>
    </xf>
    <xf numFmtId="0" fontId="15" fillId="0" borderId="0" xfId="1" applyFont="1" applyBorder="1" applyAlignment="1">
      <alignment horizontal="left" vertical="center" wrapText="1"/>
    </xf>
    <xf numFmtId="0" fontId="15" fillId="0" borderId="47" xfId="1" applyFont="1" applyBorder="1" applyAlignment="1">
      <alignment horizontal="left" vertical="center" wrapText="1"/>
    </xf>
    <xf numFmtId="0" fontId="15" fillId="0" borderId="57" xfId="1" applyFont="1" applyBorder="1" applyAlignment="1">
      <alignment horizontal="left" vertical="center" wrapText="1"/>
    </xf>
    <xf numFmtId="0" fontId="15" fillId="0" borderId="8" xfId="1" applyFont="1" applyBorder="1" applyAlignment="1">
      <alignment horizontal="left" vertical="center" wrapText="1"/>
    </xf>
    <xf numFmtId="0" fontId="15" fillId="0" borderId="9" xfId="1" applyFont="1" applyBorder="1" applyAlignment="1">
      <alignment horizontal="left" vertical="center" wrapText="1"/>
    </xf>
    <xf numFmtId="0" fontId="18" fillId="0" borderId="0" xfId="1" applyNumberFormat="1" applyFont="1" applyFill="1" applyBorder="1" applyAlignment="1" applyProtection="1">
      <alignment horizontal="left" vertical="center" wrapText="1"/>
    </xf>
    <xf numFmtId="0" fontId="11" fillId="0" borderId="46" xfId="1" applyFont="1" applyBorder="1" applyAlignment="1">
      <alignment horizontal="left" vertical="top" wrapText="1"/>
    </xf>
    <xf numFmtId="0" fontId="11" fillId="0" borderId="0" xfId="1" applyFont="1" applyBorder="1" applyAlignment="1">
      <alignment horizontal="left" vertical="top" wrapText="1"/>
    </xf>
    <xf numFmtId="0" fontId="11" fillId="0" borderId="47" xfId="1" applyFont="1" applyBorder="1" applyAlignment="1">
      <alignment horizontal="left" vertical="top" wrapText="1"/>
    </xf>
    <xf numFmtId="0" fontId="11" fillId="0" borderId="7" xfId="1" applyFont="1" applyBorder="1" applyAlignment="1">
      <alignment horizontal="left" vertical="top" wrapText="1"/>
    </xf>
    <xf numFmtId="0" fontId="11" fillId="0" borderId="8" xfId="1" applyFont="1" applyBorder="1" applyAlignment="1">
      <alignment horizontal="left" vertical="top" wrapText="1"/>
    </xf>
    <xf numFmtId="0" fontId="11" fillId="0" borderId="9" xfId="1" applyFont="1" applyBorder="1" applyAlignment="1">
      <alignment horizontal="left" vertical="top" wrapText="1"/>
    </xf>
    <xf numFmtId="0" fontId="2" fillId="0" borderId="0" xfId="1" applyNumberFormat="1" applyFont="1" applyFill="1" applyBorder="1" applyAlignment="1" applyProtection="1">
      <alignment horizontal="left" vertical="top" wrapText="1"/>
      <protection locked="0"/>
    </xf>
    <xf numFmtId="0" fontId="19" fillId="0" borderId="0" xfId="1" applyNumberFormat="1" applyFont="1" applyFill="1" applyBorder="1" applyAlignment="1" applyProtection="1">
      <alignment horizontal="center" vertical="top" wrapText="1"/>
      <protection locked="0"/>
    </xf>
    <xf numFmtId="0" fontId="7" fillId="0" borderId="0" xfId="1" applyNumberFormat="1" applyFont="1" applyFill="1" applyBorder="1" applyAlignment="1" applyProtection="1">
      <alignment horizontal="center" vertical="top" wrapText="1"/>
      <protection locked="0"/>
    </xf>
    <xf numFmtId="0" fontId="7" fillId="0" borderId="0" xfId="1" applyNumberFormat="1" applyFont="1" applyFill="1" applyBorder="1" applyAlignment="1" applyProtection="1">
      <alignment horizontal="center" vertical="center" wrapText="1"/>
      <protection locked="0"/>
    </xf>
    <xf numFmtId="0" fontId="18" fillId="0" borderId="0" xfId="1" applyNumberFormat="1" applyFont="1" applyFill="1" applyBorder="1" applyAlignment="1" applyProtection="1">
      <alignment horizontal="left" vertical="center" wrapText="1"/>
      <protection locked="0"/>
    </xf>
    <xf numFmtId="0" fontId="3" fillId="0" borderId="0" xfId="1" applyNumberFormat="1" applyFont="1" applyFill="1" applyBorder="1" applyAlignment="1" applyProtection="1">
      <protection locked="0"/>
    </xf>
    <xf numFmtId="0" fontId="6" fillId="0" borderId="11" xfId="1" applyFont="1" applyBorder="1" applyAlignment="1" applyProtection="1">
      <alignment horizontal="center" vertical="top" wrapText="1"/>
      <protection locked="0"/>
    </xf>
    <xf numFmtId="0" fontId="6" fillId="0" borderId="0" xfId="1" applyFont="1" applyBorder="1" applyAlignment="1" applyProtection="1">
      <alignment horizontal="center" vertical="top" wrapText="1"/>
      <protection locked="0"/>
    </xf>
    <xf numFmtId="0" fontId="20" fillId="0" borderId="0" xfId="1" applyNumberFormat="1" applyFont="1" applyFill="1" applyBorder="1" applyAlignment="1" applyProtection="1">
      <alignment horizontal="center"/>
      <protection locked="0"/>
    </xf>
  </cellXfs>
  <cellStyles count="3">
    <cellStyle name="Normal" xfId="0" builtinId="0"/>
    <cellStyle name="Normal 2 2" xfId="1" xr:uid="{CA1DCAA7-3B11-48A3-BB07-CCF217BD6399}"/>
    <cellStyle name="Percent 2" xfId="2" xr:uid="{42DC8D94-DF0F-4D93-BDC9-BA7FF715F3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28575</xdr:colOff>
      <xdr:row>0</xdr:row>
      <xdr:rowOff>65696</xdr:rowOff>
    </xdr:from>
    <xdr:ext cx="754062" cy="678234"/>
    <xdr:pic>
      <xdr:nvPicPr>
        <xdr:cNvPr id="2" name="Picture 1">
          <a:extLst>
            <a:ext uri="{FF2B5EF4-FFF2-40B4-BE49-F238E27FC236}">
              <a16:creationId xmlns:a16="http://schemas.microsoft.com/office/drawing/2014/main" id="{488A9E05-009C-4360-8D28-35D3F33B9A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381125" y="65696"/>
          <a:ext cx="754062" cy="6782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73</xdr:col>
      <xdr:colOff>39499</xdr:colOff>
      <xdr:row>1</xdr:row>
      <xdr:rowOff>10869</xdr:rowOff>
    </xdr:from>
    <xdr:ext cx="832038" cy="449750"/>
    <xdr:pic>
      <xdr:nvPicPr>
        <xdr:cNvPr id="3" name="Picture 2">
          <a:extLst>
            <a:ext uri="{FF2B5EF4-FFF2-40B4-BE49-F238E27FC236}">
              <a16:creationId xmlns:a16="http://schemas.microsoft.com/office/drawing/2014/main" id="{C0C377BD-E26A-403C-A805-998D98AC28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9269224" y="96594"/>
          <a:ext cx="832038" cy="44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MASHED-SFs-v08252024-integrity-PRINT.xlsm" TargetMode="External"/><Relationship Id="rId2" Type="http://schemas.openxmlformats.org/officeDocument/2006/relationships/externalLinkPath" Target="file:///C:\Users\Gavin\Downloads\SMASHED-SFs-v08252024-integrity-PRINT.xlsm" TargetMode="External"/><Relationship Id="rId1" Type="http://schemas.openxmlformats.org/officeDocument/2006/relationships/externalLinkPath" Target="/Users/Gavin/Downloads/SMASHED-SFs-v08252024-integrity-PRIN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sheetName val="Certificates"/>
      <sheetName val="SECONDQTRRANK"/>
      <sheetName val="DataGradesSecond"/>
      <sheetName val="Diploma"/>
      <sheetName val="QuarterlyMerit"/>
      <sheetName val="SampleRSforSubjectTeachers"/>
      <sheetName val="Graphs"/>
      <sheetName val="INPUT_DATA_Learners"/>
      <sheetName val="Version"/>
      <sheetName val="PDF"/>
      <sheetName val="INPUT_Homeroom_Data"/>
      <sheetName val="SF2_Attendance"/>
      <sheetName val="M_1"/>
      <sheetName val="M_2"/>
      <sheetName val="M_3"/>
      <sheetName val="M_4"/>
      <sheetName val="M_5"/>
      <sheetName val="M_6"/>
      <sheetName val="M_7"/>
      <sheetName val="M_8"/>
      <sheetName val="M_9"/>
      <sheetName val="M_10"/>
      <sheetName val="M_11"/>
      <sheetName val="M_12"/>
      <sheetName val="Observed_Values"/>
      <sheetName val="SF5_1st_Sem"/>
      <sheetName val="SF5_2nd_Sem"/>
      <sheetName val="SF9FRONT"/>
      <sheetName val="SF9BACK"/>
      <sheetName val="SF10AG11"/>
      <sheetName val="SF10BG12"/>
      <sheetName val="DataGradesFirst"/>
      <sheetName val="FIRSTQTRRANK"/>
      <sheetName val="FirstSemSummary"/>
      <sheetName val="DataGradesThird"/>
      <sheetName val="THIRDQTRRANK"/>
      <sheetName val="DataGradesFourth"/>
      <sheetName val="FOURTHQTRRANK"/>
      <sheetName val="SecondSemSummary"/>
      <sheetName val="HomeroomGuidance_Data"/>
      <sheetName val="HomeroomGuidance_Results"/>
      <sheetName val="General_Average"/>
      <sheetName val="SHS_AVERAGE"/>
    </sheetNames>
    <sheetDataSet>
      <sheetData sheetId="0"/>
      <sheetData sheetId="1"/>
      <sheetData sheetId="2"/>
      <sheetData sheetId="3"/>
      <sheetData sheetId="4"/>
      <sheetData sheetId="5"/>
      <sheetData sheetId="6"/>
      <sheetData sheetId="7"/>
      <sheetData sheetId="8">
        <row r="1">
          <cell r="A1" t="str">
            <v>LRN</v>
          </cell>
        </row>
        <row r="2">
          <cell r="A2">
            <v>108523130005</v>
          </cell>
          <cell r="T2" t="str">
            <v xml:space="preserve">JOHN REONIEL  A.  AGULTO </v>
          </cell>
        </row>
        <row r="3">
          <cell r="A3">
            <v>108509130286</v>
          </cell>
          <cell r="T3" t="str">
            <v xml:space="preserve">JEIHANE CARLO J.  DAVID </v>
          </cell>
        </row>
        <row r="4">
          <cell r="A4">
            <v>109243130286</v>
          </cell>
          <cell r="T4" t="str">
            <v xml:space="preserve">MARK JASON L.  GARIN </v>
          </cell>
        </row>
        <row r="5">
          <cell r="A5">
            <v>136753141450</v>
          </cell>
          <cell r="T5" t="str">
            <v xml:space="preserve">JOHN NATHAN A.  JAZMIN </v>
          </cell>
        </row>
        <row r="6">
          <cell r="A6">
            <v>107960130100</v>
          </cell>
          <cell r="T6" t="str">
            <v xml:space="preserve">KLARENCE JOAQUIN C.  LUNA </v>
          </cell>
        </row>
        <row r="7">
          <cell r="A7">
            <v>108511130058</v>
          </cell>
          <cell r="T7" t="str">
            <v xml:space="preserve">JUSTIN M.  PARAFINA </v>
          </cell>
        </row>
        <row r="8">
          <cell r="A8">
            <v>108777130076</v>
          </cell>
          <cell r="T8" t="str">
            <v xml:space="preserve">KIRK JOSHUA T.  RODRIGO </v>
          </cell>
        </row>
        <row r="9">
          <cell r="A9">
            <v>108509140287</v>
          </cell>
          <cell r="T9" t="str">
            <v xml:space="preserve">JAN GABRIEL O.  TURINGAN </v>
          </cell>
        </row>
        <row r="10">
          <cell r="A10">
            <v>108509130223</v>
          </cell>
          <cell r="T10" t="str">
            <v xml:space="preserve">RONA LEA P.  ALDOVINO </v>
          </cell>
        </row>
        <row r="11">
          <cell r="A11">
            <v>108509130355</v>
          </cell>
          <cell r="T11" t="str">
            <v xml:space="preserve">PRECIOUS NICOLE N.  ANDRADE </v>
          </cell>
        </row>
        <row r="12">
          <cell r="A12">
            <v>108509130244</v>
          </cell>
          <cell r="T12" t="str">
            <v xml:space="preserve">SCARLETH R.  AURELLANA </v>
          </cell>
        </row>
        <row r="13">
          <cell r="A13">
            <v>108518140032</v>
          </cell>
          <cell r="T13" t="str">
            <v xml:space="preserve">ERICKA H.  BAYLON </v>
          </cell>
        </row>
        <row r="14">
          <cell r="A14">
            <v>108509140230</v>
          </cell>
          <cell r="T14" t="str">
            <v xml:space="preserve">HYRSYLL MAE A.  CAMARA </v>
          </cell>
        </row>
        <row r="15">
          <cell r="A15">
            <v>108509130093</v>
          </cell>
          <cell r="T15" t="str">
            <v xml:space="preserve">MA. JENIFER  L.  CAMPOSANO </v>
          </cell>
        </row>
        <row r="16">
          <cell r="A16">
            <v>108509130354</v>
          </cell>
          <cell r="T16" t="str">
            <v xml:space="preserve">KIMBERLY SHANE B.  DE GUZMAN </v>
          </cell>
        </row>
        <row r="17">
          <cell r="A17">
            <v>108509130057</v>
          </cell>
          <cell r="T17" t="str">
            <v xml:space="preserve">CHELSEA VICTORIA T.  DEGRAS </v>
          </cell>
        </row>
        <row r="18">
          <cell r="A18">
            <v>108513130045</v>
          </cell>
          <cell r="T18" t="str">
            <v xml:space="preserve">ANGEL M.  DEJARLO </v>
          </cell>
        </row>
        <row r="19">
          <cell r="A19">
            <v>108514130083</v>
          </cell>
          <cell r="T19" t="str">
            <v xml:space="preserve">VENYN B.  DEOLATA </v>
          </cell>
        </row>
        <row r="20">
          <cell r="A20">
            <v>108509130058</v>
          </cell>
          <cell r="T20" t="str">
            <v xml:space="preserve">JHERMAIN KIZIA G.  DEZA </v>
          </cell>
        </row>
        <row r="21">
          <cell r="A21">
            <v>108512130038</v>
          </cell>
          <cell r="T21" t="str">
            <v xml:space="preserve">MARIEL A.  ENDIANO </v>
          </cell>
        </row>
        <row r="22">
          <cell r="A22">
            <v>109018130023</v>
          </cell>
          <cell r="T22" t="str">
            <v xml:space="preserve">PRINCESS JASHLYE T.  GARANIEL </v>
          </cell>
        </row>
        <row r="23">
          <cell r="A23">
            <v>108509130061</v>
          </cell>
          <cell r="T23" t="str">
            <v xml:space="preserve">ANNE LICEL R.  ISAGA </v>
          </cell>
        </row>
        <row r="24">
          <cell r="A24">
            <v>108795140046</v>
          </cell>
          <cell r="T24" t="str">
            <v xml:space="preserve">ANICA DOMMELLE M.  LARGUEZA </v>
          </cell>
        </row>
        <row r="25">
          <cell r="A25">
            <v>108515130070</v>
          </cell>
          <cell r="T25" t="str">
            <v xml:space="preserve">ARLENE JANE V.  LAUTA </v>
          </cell>
        </row>
        <row r="26">
          <cell r="A26">
            <v>108509130227</v>
          </cell>
          <cell r="T26" t="str">
            <v xml:space="preserve">WILMA MAY A.  MAQUINIANA </v>
          </cell>
        </row>
        <row r="27">
          <cell r="A27">
            <v>108509140235</v>
          </cell>
          <cell r="T27" t="str">
            <v xml:space="preserve">JHOANA SYRA M.  MILLARES </v>
          </cell>
        </row>
        <row r="28">
          <cell r="A28">
            <v>108523130025</v>
          </cell>
          <cell r="T28" t="str">
            <v xml:space="preserve">KIMBERLEY ANN F.  NERA </v>
          </cell>
        </row>
        <row r="29">
          <cell r="A29">
            <v>108515130072</v>
          </cell>
          <cell r="T29" t="str">
            <v xml:space="preserve">MAY KAREN N.  PALIGAR </v>
          </cell>
        </row>
        <row r="30">
          <cell r="A30">
            <v>108473130595</v>
          </cell>
          <cell r="T30" t="str">
            <v xml:space="preserve">ALIYAH SAMANTHA T.  PARCO </v>
          </cell>
        </row>
        <row r="31">
          <cell r="A31">
            <v>108530130043</v>
          </cell>
          <cell r="T31" t="str">
            <v xml:space="preserve">LEA ANN M.  PINEDA </v>
          </cell>
        </row>
        <row r="32">
          <cell r="A32">
            <v>108513120077</v>
          </cell>
          <cell r="T32" t="str">
            <v xml:space="preserve">KHASREINE B.  RECAŇA </v>
          </cell>
        </row>
        <row r="33">
          <cell r="A33">
            <v>108512130053</v>
          </cell>
          <cell r="T33" t="str">
            <v xml:space="preserve">PRINCES JOY M.  ROGA </v>
          </cell>
        </row>
        <row r="34">
          <cell r="A34">
            <v>104952120299</v>
          </cell>
          <cell r="T34" t="str">
            <v xml:space="preserve">TRICIA MAE F.  SORIAO </v>
          </cell>
        </row>
        <row r="35">
          <cell r="A35">
            <v>108509130201</v>
          </cell>
          <cell r="T35" t="str">
            <v xml:space="preserve">LEALYN EUNICE L.  TALENTO </v>
          </cell>
        </row>
        <row r="36">
          <cell r="A36">
            <v>108527140005</v>
          </cell>
          <cell r="T36" t="str">
            <v xml:space="preserve">AISHLE CRISTEL M.  VILLAREAL </v>
          </cell>
        </row>
        <row r="37">
          <cell r="A37">
            <v>108511130066</v>
          </cell>
          <cell r="T37" t="str">
            <v xml:space="preserve">KIM LJ N.  VILLASIN </v>
          </cell>
        </row>
        <row r="38">
          <cell r="T38" t="str">
            <v xml:space="preserve">    </v>
          </cell>
        </row>
        <row r="39">
          <cell r="T39" t="str">
            <v xml:space="preserve">    </v>
          </cell>
        </row>
        <row r="40">
          <cell r="T40" t="str">
            <v xml:space="preserve">    </v>
          </cell>
        </row>
        <row r="41">
          <cell r="T41" t="str">
            <v xml:space="preserve">    </v>
          </cell>
        </row>
        <row r="42">
          <cell r="T42" t="str">
            <v xml:space="preserve">    </v>
          </cell>
        </row>
        <row r="43">
          <cell r="T43" t="str">
            <v xml:space="preserve">    </v>
          </cell>
        </row>
        <row r="44">
          <cell r="T44" t="str">
            <v xml:space="preserve">    </v>
          </cell>
        </row>
        <row r="45">
          <cell r="T45" t="str">
            <v xml:space="preserve">    </v>
          </cell>
        </row>
        <row r="46">
          <cell r="T46" t="str">
            <v xml:space="preserve">    </v>
          </cell>
        </row>
        <row r="47">
          <cell r="T47" t="str">
            <v xml:space="preserve">    </v>
          </cell>
        </row>
        <row r="48">
          <cell r="T48" t="str">
            <v xml:space="preserve">    </v>
          </cell>
        </row>
        <row r="49">
          <cell r="T49" t="str">
            <v xml:space="preserve">    </v>
          </cell>
        </row>
        <row r="50">
          <cell r="T50" t="str">
            <v xml:space="preserve">    </v>
          </cell>
        </row>
        <row r="51">
          <cell r="T51" t="str">
            <v xml:space="preserve">    </v>
          </cell>
        </row>
        <row r="52">
          <cell r="T52" t="str">
            <v xml:space="preserve">    </v>
          </cell>
        </row>
        <row r="53">
          <cell r="T53" t="str">
            <v xml:space="preserve">    </v>
          </cell>
        </row>
        <row r="54">
          <cell r="T54" t="str">
            <v xml:space="preserve">    </v>
          </cell>
        </row>
        <row r="55">
          <cell r="T55" t="str">
            <v xml:space="preserve">    </v>
          </cell>
        </row>
        <row r="56">
          <cell r="T56" t="str">
            <v xml:space="preserve">    </v>
          </cell>
        </row>
        <row r="57">
          <cell r="T57" t="str">
            <v xml:space="preserve">    </v>
          </cell>
        </row>
        <row r="58">
          <cell r="T58" t="str">
            <v xml:space="preserve">    </v>
          </cell>
        </row>
        <row r="59">
          <cell r="T59" t="str">
            <v xml:space="preserve">    </v>
          </cell>
        </row>
        <row r="60">
          <cell r="T60" t="str">
            <v xml:space="preserve">    </v>
          </cell>
        </row>
        <row r="61">
          <cell r="T61" t="str">
            <v xml:space="preserve">    </v>
          </cell>
        </row>
        <row r="62">
          <cell r="T62" t="str">
            <v xml:space="preserve">    </v>
          </cell>
        </row>
        <row r="63">
          <cell r="T63" t="str">
            <v xml:space="preserve">    </v>
          </cell>
        </row>
        <row r="64">
          <cell r="T64" t="str">
            <v xml:space="preserve">    </v>
          </cell>
        </row>
        <row r="65">
          <cell r="T65" t="str">
            <v xml:space="preserve">    </v>
          </cell>
        </row>
        <row r="66">
          <cell r="T66" t="str">
            <v xml:space="preserve">    </v>
          </cell>
        </row>
        <row r="67">
          <cell r="T67" t="str">
            <v xml:space="preserve">    </v>
          </cell>
        </row>
        <row r="68">
          <cell r="T68" t="str">
            <v xml:space="preserve">    </v>
          </cell>
        </row>
        <row r="69">
          <cell r="T69" t="str">
            <v xml:space="preserve">    </v>
          </cell>
        </row>
        <row r="70">
          <cell r="T70" t="str">
            <v xml:space="preserve">    </v>
          </cell>
        </row>
        <row r="71">
          <cell r="T71" t="str">
            <v xml:space="preserve">    </v>
          </cell>
        </row>
      </sheetData>
      <sheetData sheetId="9"/>
      <sheetData sheetId="10"/>
      <sheetData sheetId="11">
        <row r="18">
          <cell r="A18" t="str">
            <v>SCHOOL YEAR:</v>
          </cell>
        </row>
        <row r="21">
          <cell r="A21" t="str">
            <v>DISTRICT:</v>
          </cell>
        </row>
        <row r="23">
          <cell r="A23" t="str">
            <v>SCHOOL NAME:</v>
          </cell>
        </row>
        <row r="24">
          <cell r="A24" t="str">
            <v>SCHOOL ID:</v>
          </cell>
        </row>
        <row r="25">
          <cell r="A25" t="str">
            <v>TRACK:</v>
          </cell>
        </row>
        <row r="26">
          <cell r="A26" t="str">
            <v>STRAND:</v>
          </cell>
        </row>
        <row r="27">
          <cell r="A27" t="str">
            <v>GRADE:</v>
          </cell>
        </row>
        <row r="28">
          <cell r="A28" t="str">
            <v>SECTION:</v>
          </cell>
        </row>
        <row r="30">
          <cell r="A30" t="str">
            <v>ADVISER:</v>
          </cell>
        </row>
        <row r="34">
          <cell r="A34" t="str">
            <v>NAME OF PRINCIPAL:</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A3" t="str">
            <v>No. of school days</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E7908-B97F-44CF-9686-E6DE5BA44619}">
  <dimension ref="A1:CG172"/>
  <sheetViews>
    <sheetView tabSelected="1" topLeftCell="A156" workbookViewId="0">
      <selection activeCell="BY178" sqref="BY178"/>
    </sheetView>
  </sheetViews>
  <sheetFormatPr defaultRowHeight="15"/>
  <cols>
    <col min="1" max="2" width="0.5703125" bestFit="1" customWidth="1"/>
    <col min="3" max="4" width="0.140625" bestFit="1" customWidth="1"/>
    <col min="5" max="5" width="0.28515625" bestFit="1" customWidth="1"/>
    <col min="6" max="6" width="1.28515625" bestFit="1" customWidth="1"/>
    <col min="7" max="7" width="8.28515625" bestFit="1" customWidth="1"/>
    <col min="8" max="8" width="0.140625" bestFit="1" customWidth="1"/>
    <col min="9" max="9" width="6.42578125" bestFit="1" customWidth="1"/>
    <col min="10" max="10" width="8.28515625" bestFit="1" customWidth="1"/>
    <col min="11" max="11" width="0.85546875" bestFit="1" customWidth="1"/>
    <col min="12" max="12" width="2" bestFit="1" customWidth="1"/>
    <col min="13" max="13" width="3" customWidth="1"/>
    <col min="14" max="14" width="3.140625" customWidth="1"/>
    <col min="15" max="15" width="0.28515625" bestFit="1" customWidth="1"/>
    <col min="16" max="16" width="0.85546875" bestFit="1" customWidth="1"/>
    <col min="17" max="17" width="0.28515625" bestFit="1" customWidth="1"/>
    <col min="18" max="18" width="1.28515625" bestFit="1" customWidth="1"/>
    <col min="19" max="19" width="1.7109375" bestFit="1" customWidth="1"/>
    <col min="20" max="20" width="0.140625" bestFit="1" customWidth="1"/>
    <col min="21" max="21" width="1" bestFit="1" customWidth="1"/>
    <col min="22" max="22" width="3" customWidth="1"/>
    <col min="23" max="23" width="1.28515625" bestFit="1" customWidth="1"/>
    <col min="24" max="24" width="0.140625" bestFit="1" customWidth="1"/>
    <col min="25" max="25" width="1.28515625" bestFit="1" customWidth="1"/>
    <col min="26" max="26" width="3" customWidth="1"/>
    <col min="27" max="27" width="3.140625" customWidth="1"/>
    <col min="28" max="28" width="2.140625" bestFit="1" customWidth="1"/>
    <col min="29" max="29" width="0.140625" bestFit="1" customWidth="1"/>
    <col min="30" max="30" width="0.5703125" bestFit="1" customWidth="1"/>
    <col min="31" max="32" width="0.140625" bestFit="1" customWidth="1"/>
    <col min="33" max="33" width="2.5703125" bestFit="1" customWidth="1"/>
    <col min="34" max="34" width="3" customWidth="1"/>
    <col min="35" max="35" width="1.140625" bestFit="1" customWidth="1"/>
    <col min="36" max="36" width="0.28515625" bestFit="1" customWidth="1"/>
    <col min="37" max="37" width="1.28515625" bestFit="1" customWidth="1"/>
    <col min="38" max="38" width="0.7109375" bestFit="1" customWidth="1"/>
    <col min="39" max="39" width="2.140625" bestFit="1" customWidth="1"/>
    <col min="40" max="40" width="1.140625" bestFit="1" customWidth="1"/>
    <col min="41" max="41" width="1.7109375" bestFit="1" customWidth="1"/>
    <col min="42" max="42" width="1.140625" bestFit="1" customWidth="1"/>
    <col min="43" max="43" width="1.7109375" bestFit="1" customWidth="1"/>
    <col min="44" max="44" width="3.140625" customWidth="1"/>
    <col min="45" max="45" width="1.5703125" bestFit="1" customWidth="1"/>
    <col min="46" max="46" width="1.28515625" bestFit="1" customWidth="1"/>
    <col min="47" max="47" width="3.28515625" customWidth="1"/>
    <col min="48" max="48" width="3.140625" customWidth="1"/>
    <col min="49" max="49" width="1.85546875" bestFit="1" customWidth="1"/>
    <col min="50" max="51" width="1" bestFit="1" customWidth="1"/>
    <col min="52" max="52" width="0.7109375" bestFit="1" customWidth="1"/>
    <col min="53" max="53" width="1.140625" bestFit="1" customWidth="1"/>
    <col min="54" max="54" width="1.28515625" bestFit="1" customWidth="1"/>
    <col min="55" max="55" width="1.5703125" bestFit="1" customWidth="1"/>
    <col min="56" max="56" width="3.28515625" customWidth="1"/>
    <col min="57" max="57" width="1.140625" bestFit="1" customWidth="1"/>
    <col min="58" max="58" width="0.140625" bestFit="1" customWidth="1"/>
    <col min="59" max="59" width="0.28515625" bestFit="1" customWidth="1"/>
    <col min="60" max="60" width="1.140625" bestFit="1" customWidth="1"/>
    <col min="61" max="62" width="3.140625" customWidth="1"/>
    <col min="63" max="63" width="2.28515625" bestFit="1" customWidth="1"/>
    <col min="64" max="64" width="0.5703125" bestFit="1" customWidth="1"/>
    <col min="65" max="65" width="0.7109375" bestFit="1" customWidth="1"/>
    <col min="66" max="66" width="2.140625" bestFit="1" customWidth="1"/>
    <col min="67" max="67" width="0.85546875" bestFit="1" customWidth="1"/>
    <col min="68" max="68" width="1.28515625" bestFit="1" customWidth="1"/>
    <col min="69" max="70" width="0.28515625" bestFit="1" customWidth="1"/>
    <col min="71" max="71" width="0.7109375" bestFit="1" customWidth="1"/>
    <col min="72" max="72" width="5.42578125" bestFit="1" customWidth="1"/>
    <col min="73" max="73" width="0.7109375" bestFit="1" customWidth="1"/>
    <col min="74" max="74" width="1.28515625" bestFit="1" customWidth="1"/>
    <col min="75" max="75" width="1" bestFit="1" customWidth="1"/>
    <col min="76" max="76" width="0.7109375" bestFit="1" customWidth="1"/>
    <col min="77" max="77" width="3.7109375" bestFit="1" customWidth="1"/>
    <col min="78" max="78" width="6.7109375" bestFit="1" customWidth="1"/>
    <col min="79" max="79" width="0.28515625" bestFit="1" customWidth="1"/>
    <col min="80" max="80" width="1" bestFit="1" customWidth="1"/>
    <col min="81" max="82" width="3.42578125" bestFit="1" customWidth="1"/>
    <col min="83" max="83" width="6.7109375" bestFit="1" customWidth="1"/>
    <col min="84" max="84" width="0.28515625" bestFit="1" customWidth="1"/>
    <col min="85" max="85" width="2" bestFit="1" customWidth="1"/>
  </cols>
  <sheetData>
    <row r="1" spans="1:85">
      <c r="A1" s="1"/>
      <c r="B1" s="1"/>
      <c r="C1" s="2"/>
      <c r="D1" s="3"/>
      <c r="E1" s="3"/>
      <c r="F1" s="3"/>
      <c r="G1" s="3"/>
      <c r="H1" s="3"/>
      <c r="I1" s="3"/>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row>
    <row r="2" spans="1:85">
      <c r="A2" s="1"/>
      <c r="B2" s="1"/>
      <c r="C2" s="3"/>
      <c r="D2" s="3"/>
      <c r="E2" s="3"/>
      <c r="F2" s="3"/>
      <c r="G2" s="3"/>
      <c r="H2" s="3"/>
      <c r="I2" s="3"/>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2"/>
      <c r="BW2" s="3"/>
      <c r="BX2" s="3"/>
      <c r="BY2" s="3"/>
      <c r="BZ2" s="3"/>
      <c r="CA2" s="3"/>
      <c r="CB2" s="1"/>
      <c r="CC2" s="1"/>
      <c r="CD2" s="1"/>
      <c r="CE2" s="1"/>
      <c r="CF2" s="1"/>
      <c r="CG2" s="1"/>
    </row>
    <row r="3" spans="1:85">
      <c r="A3" s="1"/>
      <c r="B3" s="1"/>
      <c r="C3" s="3"/>
      <c r="D3" s="3"/>
      <c r="E3" s="3"/>
      <c r="F3" s="3"/>
      <c r="G3" s="3"/>
      <c r="H3" s="3"/>
      <c r="I3" s="3"/>
      <c r="J3" s="4" t="s">
        <v>0</v>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1"/>
      <c r="CC3" s="1"/>
      <c r="CD3" s="1"/>
      <c r="CE3" s="1"/>
      <c r="CF3" s="1"/>
      <c r="CG3" s="1"/>
    </row>
    <row r="4" spans="1:8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3"/>
      <c r="BW4" s="3"/>
      <c r="BX4" s="3"/>
      <c r="BY4" s="3"/>
      <c r="BZ4" s="3"/>
      <c r="CA4" s="3"/>
      <c r="CB4" s="1"/>
      <c r="CC4" s="1"/>
      <c r="CD4" s="1"/>
      <c r="CE4" s="1"/>
      <c r="CF4" s="1"/>
      <c r="CG4" s="1"/>
    </row>
    <row r="5" spans="1:85">
      <c r="A5" s="1"/>
      <c r="B5" s="5" t="s">
        <v>1</v>
      </c>
      <c r="C5" s="3"/>
      <c r="D5" s="3"/>
      <c r="E5" s="3"/>
      <c r="F5" s="3"/>
      <c r="G5" s="3"/>
      <c r="H5" s="1"/>
      <c r="I5" s="6" t="str">
        <f>[1]INPUT_Homeroom_Data!A23</f>
        <v>SCHOOL NAME:</v>
      </c>
      <c r="J5" s="7"/>
      <c r="K5" s="7"/>
      <c r="L5" s="7"/>
      <c r="M5" s="7"/>
      <c r="N5" s="7"/>
      <c r="O5" s="8"/>
      <c r="P5" s="1"/>
      <c r="Q5" s="5" t="s">
        <v>2</v>
      </c>
      <c r="R5" s="3"/>
      <c r="S5" s="3"/>
      <c r="T5" s="3"/>
      <c r="U5" s="3"/>
      <c r="V5" s="3"/>
      <c r="W5" s="3"/>
      <c r="X5" s="1"/>
      <c r="Y5" s="6" t="str">
        <f>[1]INPUT_Homeroom_Data!A24</f>
        <v>SCHOOL ID:</v>
      </c>
      <c r="Z5" s="7"/>
      <c r="AA5" s="7"/>
      <c r="AB5" s="7"/>
      <c r="AC5" s="7"/>
      <c r="AD5" s="7"/>
      <c r="AE5" s="7"/>
      <c r="AF5" s="7"/>
      <c r="AG5" s="7"/>
      <c r="AH5" s="7"/>
      <c r="AI5" s="8"/>
      <c r="AJ5" s="1"/>
      <c r="AK5" s="5" t="s">
        <v>3</v>
      </c>
      <c r="AL5" s="3"/>
      <c r="AM5" s="3"/>
      <c r="AN5" s="3"/>
      <c r="AO5" s="3"/>
      <c r="AP5" s="3"/>
      <c r="AQ5" s="9" t="str">
        <f>[1]INPUT_Homeroom_Data!A21</f>
        <v>DISTRICT:</v>
      </c>
      <c r="AR5" s="10"/>
      <c r="AS5" s="10"/>
      <c r="AT5" s="10"/>
      <c r="AU5" s="10"/>
      <c r="AV5" s="10"/>
      <c r="AW5" s="11"/>
      <c r="AX5" s="1"/>
      <c r="AY5" s="1"/>
      <c r="AZ5" s="5" t="s">
        <v>4</v>
      </c>
      <c r="BA5" s="3"/>
      <c r="BB5" s="3"/>
      <c r="BC5" s="3"/>
      <c r="BD5" s="3"/>
      <c r="BE5" s="3"/>
      <c r="BF5" s="3"/>
      <c r="BG5" s="1"/>
      <c r="BH5" s="9" t="s">
        <v>5</v>
      </c>
      <c r="BI5" s="10"/>
      <c r="BJ5" s="10"/>
      <c r="BK5" s="10"/>
      <c r="BL5" s="10"/>
      <c r="BM5" s="10"/>
      <c r="BN5" s="10"/>
      <c r="BO5" s="10"/>
      <c r="BP5" s="10"/>
      <c r="BQ5" s="10"/>
      <c r="BR5" s="11"/>
      <c r="BS5" s="1"/>
      <c r="BT5" s="5" t="s">
        <v>6</v>
      </c>
      <c r="BU5" s="3"/>
      <c r="BV5" s="3"/>
      <c r="BW5" s="3"/>
      <c r="BX5" s="1"/>
      <c r="BY5" s="9" t="s">
        <v>7</v>
      </c>
      <c r="BZ5" s="11"/>
      <c r="CA5" s="1"/>
      <c r="CB5" s="1"/>
      <c r="CC5" s="1"/>
      <c r="CD5" s="1"/>
      <c r="CE5" s="1"/>
      <c r="CF5" s="1"/>
      <c r="CG5" s="1"/>
    </row>
    <row r="6" spans="1:85">
      <c r="A6" s="1"/>
      <c r="B6" s="1"/>
      <c r="C6" s="1"/>
      <c r="D6" s="1"/>
      <c r="E6" s="1"/>
      <c r="F6" s="1"/>
      <c r="G6" s="1"/>
      <c r="H6" s="1"/>
      <c r="I6" s="1"/>
      <c r="J6" s="1"/>
      <c r="K6" s="1"/>
      <c r="L6" s="1"/>
      <c r="M6" s="12" t="s">
        <v>8</v>
      </c>
      <c r="N6" s="3"/>
      <c r="O6" s="3"/>
      <c r="P6" s="3"/>
      <c r="Q6" s="3"/>
      <c r="R6" s="3"/>
      <c r="S6" s="3"/>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row>
    <row r="7" spans="1:85">
      <c r="A7" s="1"/>
      <c r="B7" s="1"/>
      <c r="C7" s="1"/>
      <c r="D7" s="5" t="s">
        <v>9</v>
      </c>
      <c r="E7" s="3"/>
      <c r="F7" s="3"/>
      <c r="G7" s="3"/>
      <c r="H7" s="1"/>
      <c r="I7" s="13" t="s">
        <v>10</v>
      </c>
      <c r="J7" s="14"/>
      <c r="K7" s="14"/>
      <c r="L7" s="15"/>
      <c r="M7" s="3"/>
      <c r="N7" s="3"/>
      <c r="O7" s="3"/>
      <c r="P7" s="3"/>
      <c r="Q7" s="3"/>
      <c r="R7" s="3"/>
      <c r="S7" s="3"/>
      <c r="T7" s="1"/>
      <c r="U7" s="1"/>
      <c r="V7" s="1"/>
      <c r="W7" s="1"/>
      <c r="X7" s="1"/>
      <c r="Y7" s="1"/>
      <c r="Z7" s="1"/>
      <c r="AA7" s="1"/>
      <c r="AB7" s="1"/>
      <c r="AC7" s="1"/>
      <c r="AD7" s="1"/>
      <c r="AE7" s="1"/>
      <c r="AF7" s="1"/>
      <c r="AG7" s="5" t="s">
        <v>11</v>
      </c>
      <c r="AH7" s="3"/>
      <c r="AI7" s="3"/>
      <c r="AJ7" s="3"/>
      <c r="AK7" s="3"/>
      <c r="AL7" s="3"/>
      <c r="AM7" s="3"/>
      <c r="AN7" s="1"/>
      <c r="AO7" s="1"/>
      <c r="AP7" s="1"/>
      <c r="AQ7" s="1"/>
      <c r="AR7" s="1"/>
      <c r="AS7" s="1"/>
      <c r="AT7" s="5" t="s">
        <v>12</v>
      </c>
      <c r="AU7" s="3"/>
      <c r="AV7" s="3"/>
      <c r="AW7" s="3"/>
      <c r="AX7" s="3"/>
      <c r="AY7" s="3"/>
      <c r="AZ7" s="3"/>
      <c r="BA7" s="3"/>
      <c r="BB7" s="3"/>
      <c r="BC7" s="16" t="str">
        <f>PROPER(CONCATENATE([1]INPUT_Homeroom_Data!A25,"/",[1]INPUT_Homeroom_Data!A26))</f>
        <v>Track:/Strand:</v>
      </c>
      <c r="BD7" s="17"/>
      <c r="BE7" s="17"/>
      <c r="BF7" s="17"/>
      <c r="BG7" s="17"/>
      <c r="BH7" s="17"/>
      <c r="BI7" s="17"/>
      <c r="BJ7" s="17"/>
      <c r="BK7" s="17"/>
      <c r="BL7" s="17"/>
      <c r="BM7" s="17"/>
      <c r="BN7" s="17"/>
      <c r="BO7" s="17"/>
      <c r="BP7" s="17"/>
      <c r="BQ7" s="17"/>
      <c r="BR7" s="17"/>
      <c r="BS7" s="17"/>
      <c r="BT7" s="17"/>
      <c r="BU7" s="17"/>
      <c r="BV7" s="17"/>
      <c r="BW7" s="17"/>
      <c r="BX7" s="17"/>
      <c r="BY7" s="17"/>
      <c r="BZ7" s="18"/>
      <c r="CA7" s="1"/>
      <c r="CB7" s="1"/>
      <c r="CC7" s="1"/>
      <c r="CD7" s="1"/>
      <c r="CE7" s="1"/>
      <c r="CF7" s="1"/>
      <c r="CG7" s="1"/>
    </row>
    <row r="8" spans="1:85">
      <c r="A8" s="1"/>
      <c r="B8" s="1"/>
      <c r="C8" s="1"/>
      <c r="D8" s="3"/>
      <c r="E8" s="3"/>
      <c r="F8" s="3"/>
      <c r="G8" s="3"/>
      <c r="H8" s="1"/>
      <c r="I8" s="19"/>
      <c r="J8" s="20"/>
      <c r="K8" s="20"/>
      <c r="L8" s="21"/>
      <c r="M8" s="3"/>
      <c r="N8" s="3"/>
      <c r="O8" s="3"/>
      <c r="P8" s="3"/>
      <c r="Q8" s="3"/>
      <c r="R8" s="3"/>
      <c r="S8" s="3"/>
      <c r="T8" s="1"/>
      <c r="U8" s="13" t="str">
        <f>[1]INPUT_Homeroom_Data!A18</f>
        <v>SCHOOL YEAR:</v>
      </c>
      <c r="V8" s="14"/>
      <c r="W8" s="14"/>
      <c r="X8" s="14"/>
      <c r="Y8" s="14"/>
      <c r="Z8" s="14"/>
      <c r="AA8" s="14"/>
      <c r="AB8" s="14"/>
      <c r="AC8" s="14"/>
      <c r="AD8" s="14"/>
      <c r="AE8" s="15"/>
      <c r="AF8" s="1"/>
      <c r="AG8" s="3"/>
      <c r="AH8" s="3"/>
      <c r="AI8" s="3"/>
      <c r="AJ8" s="3"/>
      <c r="AK8" s="3"/>
      <c r="AL8" s="3"/>
      <c r="AM8" s="3"/>
      <c r="AN8" s="22" t="str">
        <f>CONCATENATE(AI2,"Grade"," ",[1]INPUT_Homeroom_Data!A27)</f>
        <v>Grade GRADE:</v>
      </c>
      <c r="AO8" s="23"/>
      <c r="AP8" s="23"/>
      <c r="AQ8" s="23"/>
      <c r="AR8" s="23"/>
      <c r="AS8" s="24"/>
      <c r="AT8" s="3"/>
      <c r="AU8" s="3"/>
      <c r="AV8" s="3"/>
      <c r="AW8" s="3"/>
      <c r="AX8" s="3"/>
      <c r="AY8" s="3"/>
      <c r="AZ8" s="3"/>
      <c r="BA8" s="3"/>
      <c r="BB8" s="3"/>
      <c r="BC8" s="25"/>
      <c r="BD8" s="26"/>
      <c r="BE8" s="26"/>
      <c r="BF8" s="26"/>
      <c r="BG8" s="26"/>
      <c r="BH8" s="26"/>
      <c r="BI8" s="26"/>
      <c r="BJ8" s="26"/>
      <c r="BK8" s="26"/>
      <c r="BL8" s="26"/>
      <c r="BM8" s="26"/>
      <c r="BN8" s="26"/>
      <c r="BO8" s="26"/>
      <c r="BP8" s="26"/>
      <c r="BQ8" s="26"/>
      <c r="BR8" s="26"/>
      <c r="BS8" s="26"/>
      <c r="BT8" s="26"/>
      <c r="BU8" s="26"/>
      <c r="BV8" s="26"/>
      <c r="BW8" s="26"/>
      <c r="BX8" s="26"/>
      <c r="BY8" s="26"/>
      <c r="BZ8" s="27"/>
      <c r="CA8" s="1"/>
      <c r="CB8" s="1"/>
      <c r="CC8" s="1"/>
      <c r="CD8" s="1"/>
      <c r="CE8" s="1"/>
      <c r="CF8" s="1"/>
      <c r="CG8" s="1"/>
    </row>
    <row r="9" spans="1:85">
      <c r="A9" s="1"/>
      <c r="B9" s="1"/>
      <c r="C9" s="1"/>
      <c r="D9" s="1"/>
      <c r="E9" s="1"/>
      <c r="F9" s="1"/>
      <c r="G9" s="1"/>
      <c r="H9" s="1"/>
      <c r="I9" s="1"/>
      <c r="J9" s="1"/>
      <c r="K9" s="1"/>
      <c r="L9" s="1"/>
      <c r="M9" s="3"/>
      <c r="N9" s="3"/>
      <c r="O9" s="3"/>
      <c r="P9" s="3"/>
      <c r="Q9" s="3"/>
      <c r="R9" s="3"/>
      <c r="S9" s="3"/>
      <c r="T9" s="1"/>
      <c r="U9" s="19"/>
      <c r="V9" s="20"/>
      <c r="W9" s="20"/>
      <c r="X9" s="20"/>
      <c r="Y9" s="20"/>
      <c r="Z9" s="20"/>
      <c r="AA9" s="20"/>
      <c r="AB9" s="20"/>
      <c r="AC9" s="20"/>
      <c r="AD9" s="20"/>
      <c r="AE9" s="21"/>
      <c r="AF9" s="1"/>
      <c r="AG9" s="1"/>
      <c r="AH9" s="1"/>
      <c r="AI9" s="1"/>
      <c r="AJ9" s="1"/>
      <c r="AK9" s="1"/>
      <c r="AL9" s="1"/>
      <c r="AM9" s="1"/>
      <c r="AN9" s="28"/>
      <c r="AO9" s="29"/>
      <c r="AP9" s="29"/>
      <c r="AQ9" s="29"/>
      <c r="AR9" s="29"/>
      <c r="AS9" s="30"/>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row>
    <row r="10" spans="1:85">
      <c r="A10" s="1"/>
      <c r="B10" s="1"/>
      <c r="C10" s="1"/>
      <c r="D10" s="1"/>
      <c r="E10" s="1"/>
      <c r="F10" s="1"/>
      <c r="G10" s="1"/>
      <c r="H10" s="1"/>
      <c r="I10" s="1"/>
      <c r="J10" s="1"/>
      <c r="K10" s="1"/>
      <c r="L10" s="1"/>
      <c r="M10" s="1"/>
      <c r="N10" s="1"/>
      <c r="O10" s="1"/>
      <c r="P10" s="1"/>
      <c r="Q10" s="1"/>
      <c r="R10" s="5" t="s">
        <v>13</v>
      </c>
      <c r="S10" s="3"/>
      <c r="T10" s="3"/>
      <c r="U10" s="3"/>
      <c r="V10" s="3"/>
      <c r="W10" s="3"/>
      <c r="X10" s="3"/>
      <c r="Y10" s="3"/>
      <c r="Z10" s="3"/>
      <c r="AA10" s="3"/>
      <c r="AB10" s="3"/>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row>
    <row r="11" spans="1:85">
      <c r="A11" s="1"/>
      <c r="B11" s="1"/>
      <c r="C11" s="1"/>
      <c r="D11" s="1"/>
      <c r="E11" s="1"/>
      <c r="F11" s="1"/>
      <c r="G11" s="1"/>
      <c r="H11" s="1"/>
      <c r="I11" s="1"/>
      <c r="J11" s="1"/>
      <c r="K11" s="1"/>
      <c r="L11" s="1"/>
      <c r="M11" s="1"/>
      <c r="N11" s="1"/>
      <c r="O11" s="1"/>
      <c r="P11" s="1"/>
      <c r="Q11" s="1"/>
      <c r="R11" s="3"/>
      <c r="S11" s="3"/>
      <c r="T11" s="3"/>
      <c r="U11" s="3"/>
      <c r="V11" s="3"/>
      <c r="W11" s="3"/>
      <c r="X11" s="3"/>
      <c r="Y11" s="3"/>
      <c r="Z11" s="3"/>
      <c r="AA11" s="3"/>
      <c r="AB11" s="3"/>
      <c r="AC11" s="1"/>
      <c r="AD11" s="1"/>
      <c r="AE11" s="1"/>
      <c r="AF11" s="1"/>
      <c r="AG11" s="1"/>
      <c r="AH11" s="1"/>
      <c r="AI11" s="1"/>
      <c r="AJ11" s="1"/>
      <c r="AK11" s="1"/>
      <c r="AL11" s="1"/>
      <c r="AM11" s="1"/>
      <c r="AN11" s="1"/>
      <c r="AO11" s="1"/>
      <c r="AP11" s="1"/>
      <c r="AQ11" s="1"/>
      <c r="AR11" s="1"/>
      <c r="AS11" s="1"/>
      <c r="AT11" s="1"/>
      <c r="AU11" s="1"/>
      <c r="AV11" s="1"/>
      <c r="AW11" s="1"/>
      <c r="AX11" s="1"/>
      <c r="AY11" s="1"/>
      <c r="AZ11" s="1"/>
      <c r="BA11" s="5" t="s">
        <v>14</v>
      </c>
      <c r="BB11" s="3"/>
      <c r="BC11" s="3"/>
      <c r="BD11" s="3"/>
      <c r="BE11" s="3"/>
      <c r="BF11" s="3"/>
      <c r="BG11" s="3"/>
      <c r="BH11" s="3"/>
      <c r="BI11" s="3"/>
      <c r="BJ11" s="3"/>
      <c r="BK11" s="3"/>
      <c r="BL11" s="1"/>
      <c r="BM11" s="1"/>
      <c r="BN11" s="31" t="str">
        <f>UPPER(TEXT([1]SF9FRONT!A2,"MMMM"))</f>
        <v>JANUARY</v>
      </c>
      <c r="BO11" s="32"/>
      <c r="BP11" s="32"/>
      <c r="BQ11" s="32"/>
      <c r="BR11" s="32"/>
      <c r="BS11" s="32"/>
      <c r="BT11" s="32"/>
      <c r="BU11" s="32"/>
      <c r="BV11" s="32"/>
      <c r="BW11" s="32"/>
      <c r="BX11" s="32"/>
      <c r="BY11" s="32"/>
      <c r="BZ11" s="33"/>
      <c r="CA11" s="1"/>
      <c r="CB11" s="1"/>
      <c r="CC11" s="1"/>
      <c r="CD11" s="1"/>
      <c r="CE11" s="1"/>
      <c r="CF11" s="1"/>
      <c r="CG11" s="1"/>
    </row>
    <row r="12" spans="1:85">
      <c r="A12" s="1"/>
      <c r="B12" s="1"/>
      <c r="C12" s="1"/>
      <c r="D12" s="1"/>
      <c r="E12" s="5" t="s">
        <v>15</v>
      </c>
      <c r="F12" s="3"/>
      <c r="G12" s="3"/>
      <c r="H12" s="3"/>
      <c r="I12" s="13" t="str">
        <f>[1]INPUT_Homeroom_Data!A28</f>
        <v>SECTION:</v>
      </c>
      <c r="J12" s="14"/>
      <c r="K12" s="14"/>
      <c r="L12" s="14"/>
      <c r="M12" s="14"/>
      <c r="N12" s="14"/>
      <c r="O12" s="15"/>
      <c r="P12" s="1"/>
      <c r="Q12" s="1"/>
      <c r="R12" s="3"/>
      <c r="S12" s="3"/>
      <c r="T12" s="3"/>
      <c r="U12" s="3"/>
      <c r="V12" s="3"/>
      <c r="W12" s="3"/>
      <c r="X12" s="3"/>
      <c r="Y12" s="3"/>
      <c r="Z12" s="3"/>
      <c r="AA12" s="3"/>
      <c r="AB12" s="3"/>
      <c r="AC12" s="1"/>
      <c r="AD12" s="13" t="s">
        <v>16</v>
      </c>
      <c r="AE12" s="14"/>
      <c r="AF12" s="14"/>
      <c r="AG12" s="14"/>
      <c r="AH12" s="14"/>
      <c r="AI12" s="14"/>
      <c r="AJ12" s="14"/>
      <c r="AK12" s="14"/>
      <c r="AL12" s="14"/>
      <c r="AM12" s="14"/>
      <c r="AN12" s="14"/>
      <c r="AO12" s="14"/>
      <c r="AP12" s="14"/>
      <c r="AQ12" s="14"/>
      <c r="AR12" s="14"/>
      <c r="AS12" s="14"/>
      <c r="AT12" s="14"/>
      <c r="AU12" s="14"/>
      <c r="AV12" s="14"/>
      <c r="AW12" s="14"/>
      <c r="AX12" s="15"/>
      <c r="AY12" s="1"/>
      <c r="AZ12" s="1"/>
      <c r="BA12" s="3"/>
      <c r="BB12" s="3"/>
      <c r="BC12" s="3"/>
      <c r="BD12" s="3"/>
      <c r="BE12" s="3"/>
      <c r="BF12" s="3"/>
      <c r="BG12" s="3"/>
      <c r="BH12" s="3"/>
      <c r="BI12" s="3"/>
      <c r="BJ12" s="3"/>
      <c r="BK12" s="3"/>
      <c r="BL12" s="1"/>
      <c r="BM12" s="1"/>
      <c r="BN12" s="34"/>
      <c r="BO12" s="35"/>
      <c r="BP12" s="35"/>
      <c r="BQ12" s="35"/>
      <c r="BR12" s="35"/>
      <c r="BS12" s="35"/>
      <c r="BT12" s="35"/>
      <c r="BU12" s="35"/>
      <c r="BV12" s="35"/>
      <c r="BW12" s="35"/>
      <c r="BX12" s="35"/>
      <c r="BY12" s="35"/>
      <c r="BZ12" s="36"/>
      <c r="CA12" s="1"/>
      <c r="CB12" s="1"/>
      <c r="CC12" s="1"/>
      <c r="CD12" s="1"/>
      <c r="CE12" s="1"/>
      <c r="CF12" s="1"/>
      <c r="CG12" s="1"/>
    </row>
    <row r="13" spans="1:85">
      <c r="A13" s="1"/>
      <c r="B13" s="1"/>
      <c r="C13" s="1"/>
      <c r="D13" s="1"/>
      <c r="E13" s="3"/>
      <c r="F13" s="3"/>
      <c r="G13" s="3"/>
      <c r="H13" s="3"/>
      <c r="I13" s="19"/>
      <c r="J13" s="20"/>
      <c r="K13" s="20"/>
      <c r="L13" s="20"/>
      <c r="M13" s="20"/>
      <c r="N13" s="20"/>
      <c r="O13" s="21"/>
      <c r="P13" s="1"/>
      <c r="Q13" s="1"/>
      <c r="R13" s="3"/>
      <c r="S13" s="3"/>
      <c r="T13" s="3"/>
      <c r="U13" s="3"/>
      <c r="V13" s="3"/>
      <c r="W13" s="3"/>
      <c r="X13" s="3"/>
      <c r="Y13" s="3"/>
      <c r="Z13" s="3"/>
      <c r="AA13" s="3"/>
      <c r="AB13" s="3"/>
      <c r="AC13" s="1"/>
      <c r="AD13" s="19"/>
      <c r="AE13" s="20"/>
      <c r="AF13" s="20"/>
      <c r="AG13" s="20"/>
      <c r="AH13" s="20"/>
      <c r="AI13" s="20"/>
      <c r="AJ13" s="20"/>
      <c r="AK13" s="20"/>
      <c r="AL13" s="20"/>
      <c r="AM13" s="20"/>
      <c r="AN13" s="20"/>
      <c r="AO13" s="20"/>
      <c r="AP13" s="20"/>
      <c r="AQ13" s="20"/>
      <c r="AR13" s="20"/>
      <c r="AS13" s="20"/>
      <c r="AT13" s="20"/>
      <c r="AU13" s="20"/>
      <c r="AV13" s="20"/>
      <c r="AW13" s="20"/>
      <c r="AX13" s="2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row>
    <row r="14" spans="1:85">
      <c r="A14" s="1"/>
      <c r="B14" s="1"/>
      <c r="C14" s="1"/>
      <c r="D14" s="1"/>
      <c r="E14" s="1"/>
      <c r="F14" s="1"/>
      <c r="G14" s="1"/>
      <c r="H14" s="1"/>
      <c r="I14" s="1"/>
      <c r="J14" s="1"/>
      <c r="K14" s="1"/>
      <c r="L14" s="1"/>
      <c r="M14" s="1"/>
      <c r="N14" s="1"/>
      <c r="O14" s="1"/>
      <c r="P14" s="1"/>
      <c r="Q14" s="1"/>
      <c r="R14" s="3"/>
      <c r="S14" s="3"/>
      <c r="T14" s="3"/>
      <c r="U14" s="3"/>
      <c r="V14" s="3"/>
      <c r="W14" s="3"/>
      <c r="X14" s="3"/>
      <c r="Y14" s="3"/>
      <c r="Z14" s="3"/>
      <c r="AA14" s="3"/>
      <c r="AB14" s="3"/>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row>
    <row r="15" spans="1:85" ht="15.75" thickBo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37" t="s">
        <v>17</v>
      </c>
      <c r="AZ15" s="38"/>
      <c r="BA15" s="38"/>
      <c r="BB15" s="38"/>
      <c r="BC15" s="38"/>
      <c r="BD15" s="38"/>
      <c r="BE15" s="38"/>
      <c r="BF15" s="38"/>
      <c r="BG15" s="38"/>
      <c r="BH15" s="38"/>
      <c r="BI15" s="38"/>
      <c r="BJ15" s="38"/>
      <c r="BK15" s="38"/>
      <c r="BL15" s="38"/>
      <c r="BM15" s="38"/>
      <c r="BN15" s="38"/>
      <c r="BO15" s="38"/>
      <c r="BP15" s="38"/>
      <c r="BQ15" s="38"/>
      <c r="BR15" s="38"/>
      <c r="BS15" s="38"/>
      <c r="BT15" s="38"/>
      <c r="BU15" s="38"/>
      <c r="BV15" s="39"/>
      <c r="BW15" s="37" t="s">
        <v>18</v>
      </c>
      <c r="BX15" s="38"/>
      <c r="BY15" s="38"/>
      <c r="BZ15" s="39"/>
      <c r="CA15" s="1"/>
      <c r="CB15" s="1"/>
      <c r="CC15" s="1"/>
      <c r="CD15" s="1"/>
      <c r="CE15" s="1"/>
      <c r="CF15" s="1"/>
      <c r="CG15" s="1"/>
    </row>
    <row r="16" spans="1:85">
      <c r="A16" s="40" t="s">
        <v>19</v>
      </c>
      <c r="B16" s="41"/>
      <c r="C16" s="41"/>
      <c r="D16" s="41"/>
      <c r="E16" s="41"/>
      <c r="F16" s="42"/>
      <c r="G16" s="40" t="s">
        <v>20</v>
      </c>
      <c r="H16" s="41"/>
      <c r="I16" s="41"/>
      <c r="J16" s="42"/>
      <c r="K16" s="43" t="s">
        <v>21</v>
      </c>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5"/>
      <c r="BS16" s="46" t="s">
        <v>22</v>
      </c>
      <c r="BT16" s="47"/>
      <c r="BU16" s="47"/>
      <c r="BV16" s="47"/>
      <c r="BW16" s="47"/>
      <c r="BX16" s="47"/>
      <c r="BY16" s="48"/>
      <c r="BZ16" s="49" t="s">
        <v>23</v>
      </c>
      <c r="CA16" s="50"/>
      <c r="CB16" s="50"/>
      <c r="CC16" s="50"/>
      <c r="CD16" s="50"/>
      <c r="CE16" s="50"/>
      <c r="CF16" s="50"/>
      <c r="CG16" s="51"/>
    </row>
    <row r="17" spans="1:85" ht="15.75" thickBot="1">
      <c r="A17" s="52"/>
      <c r="B17" s="3"/>
      <c r="C17" s="3"/>
      <c r="D17" s="3"/>
      <c r="E17" s="3"/>
      <c r="F17" s="53"/>
      <c r="G17" s="52"/>
      <c r="H17" s="3"/>
      <c r="I17" s="3"/>
      <c r="J17" s="53"/>
      <c r="K17" s="54">
        <v>1</v>
      </c>
      <c r="L17" s="55"/>
      <c r="M17" s="56">
        <v>2</v>
      </c>
      <c r="N17" s="56">
        <v>3</v>
      </c>
      <c r="O17" s="57">
        <v>4</v>
      </c>
      <c r="P17" s="58"/>
      <c r="Q17" s="58"/>
      <c r="R17" s="55"/>
      <c r="S17" s="57">
        <v>5</v>
      </c>
      <c r="T17" s="58"/>
      <c r="U17" s="55"/>
      <c r="V17" s="56">
        <v>6</v>
      </c>
      <c r="W17" s="54">
        <f>$L$17+7</f>
        <v>7</v>
      </c>
      <c r="X17" s="58"/>
      <c r="Y17" s="55"/>
      <c r="Z17" s="56">
        <f>$N$17+7</f>
        <v>10</v>
      </c>
      <c r="AA17" s="56">
        <f>$O$17+7</f>
        <v>11</v>
      </c>
      <c r="AB17" s="57">
        <f>$P$17+7</f>
        <v>7</v>
      </c>
      <c r="AC17" s="58"/>
      <c r="AD17" s="55"/>
      <c r="AE17" s="57">
        <f>$T$17+7</f>
        <v>7</v>
      </c>
      <c r="AF17" s="58"/>
      <c r="AG17" s="55"/>
      <c r="AH17" s="56">
        <f>$W$17+7</f>
        <v>14</v>
      </c>
      <c r="AI17" s="54">
        <f>W17+7</f>
        <v>14</v>
      </c>
      <c r="AJ17" s="58"/>
      <c r="AK17" s="55"/>
      <c r="AL17" s="57">
        <f>Z17+7</f>
        <v>17</v>
      </c>
      <c r="AM17" s="55"/>
      <c r="AN17" s="57">
        <f>AA17+7</f>
        <v>18</v>
      </c>
      <c r="AO17" s="55"/>
      <c r="AP17" s="57">
        <f>AB17+7</f>
        <v>14</v>
      </c>
      <c r="AQ17" s="55"/>
      <c r="AR17" s="56">
        <f>AE17+7</f>
        <v>14</v>
      </c>
      <c r="AS17" s="57">
        <f>AH17+7</f>
        <v>21</v>
      </c>
      <c r="AT17" s="55"/>
      <c r="AU17" s="59">
        <f>AI17+7</f>
        <v>21</v>
      </c>
      <c r="AV17" s="56">
        <f>AL17+7</f>
        <v>24</v>
      </c>
      <c r="AW17" s="57">
        <f>AN17+7</f>
        <v>25</v>
      </c>
      <c r="AX17" s="55"/>
      <c r="AY17" s="57">
        <f>AP17+7</f>
        <v>21</v>
      </c>
      <c r="AZ17" s="58"/>
      <c r="BA17" s="55"/>
      <c r="BB17" s="57">
        <f>AR17+7</f>
        <v>21</v>
      </c>
      <c r="BC17" s="55"/>
      <c r="BD17" s="56">
        <f>AS17+7</f>
        <v>28</v>
      </c>
      <c r="BE17" s="54">
        <f>AU17+7</f>
        <v>28</v>
      </c>
      <c r="BF17" s="58"/>
      <c r="BG17" s="58"/>
      <c r="BH17" s="55"/>
      <c r="BI17" s="56">
        <f>AV17+7</f>
        <v>31</v>
      </c>
      <c r="BJ17" s="56">
        <f>AW17+7</f>
        <v>32</v>
      </c>
      <c r="BK17" s="57">
        <f>AY17+7</f>
        <v>28</v>
      </c>
      <c r="BL17" s="55"/>
      <c r="BM17" s="57">
        <v>33</v>
      </c>
      <c r="BN17" s="55"/>
      <c r="BO17" s="57">
        <v>34</v>
      </c>
      <c r="BP17" s="58"/>
      <c r="BQ17" s="58"/>
      <c r="BR17" s="55"/>
      <c r="BS17" s="60"/>
      <c r="BT17" s="61"/>
      <c r="BU17" s="61"/>
      <c r="BV17" s="61"/>
      <c r="BW17" s="61"/>
      <c r="BX17" s="61"/>
      <c r="BY17" s="62"/>
      <c r="BZ17" s="63"/>
      <c r="CA17" s="3"/>
      <c r="CB17" s="3"/>
      <c r="CC17" s="3"/>
      <c r="CD17" s="3"/>
      <c r="CE17" s="3"/>
      <c r="CF17" s="3"/>
      <c r="CG17" s="64"/>
    </row>
    <row r="18" spans="1:85" ht="15.75" thickBot="1">
      <c r="A18" s="65"/>
      <c r="B18" s="66"/>
      <c r="C18" s="66"/>
      <c r="D18" s="66"/>
      <c r="E18" s="66"/>
      <c r="F18" s="67"/>
      <c r="G18" s="65"/>
      <c r="H18" s="66"/>
      <c r="I18" s="66"/>
      <c r="J18" s="67"/>
      <c r="K18" s="68" t="s">
        <v>24</v>
      </c>
      <c r="L18" s="69"/>
      <c r="M18" s="70" t="s">
        <v>25</v>
      </c>
      <c r="N18" s="70" t="s">
        <v>26</v>
      </c>
      <c r="O18" s="71" t="s">
        <v>27</v>
      </c>
      <c r="P18" s="72"/>
      <c r="Q18" s="72"/>
      <c r="R18" s="69"/>
      <c r="S18" s="71" t="s">
        <v>28</v>
      </c>
      <c r="T18" s="72"/>
      <c r="U18" s="69"/>
      <c r="V18" s="70" t="s">
        <v>29</v>
      </c>
      <c r="W18" s="68" t="s">
        <v>24</v>
      </c>
      <c r="X18" s="72"/>
      <c r="Y18" s="69"/>
      <c r="Z18" s="70" t="s">
        <v>25</v>
      </c>
      <c r="AA18" s="70" t="s">
        <v>26</v>
      </c>
      <c r="AB18" s="71" t="s">
        <v>27</v>
      </c>
      <c r="AC18" s="72"/>
      <c r="AD18" s="69"/>
      <c r="AE18" s="71" t="s">
        <v>28</v>
      </c>
      <c r="AF18" s="72"/>
      <c r="AG18" s="69"/>
      <c r="AH18" s="70" t="s">
        <v>29</v>
      </c>
      <c r="AI18" s="68" t="s">
        <v>24</v>
      </c>
      <c r="AJ18" s="72"/>
      <c r="AK18" s="69"/>
      <c r="AL18" s="71" t="s">
        <v>25</v>
      </c>
      <c r="AM18" s="69"/>
      <c r="AN18" s="71" t="s">
        <v>26</v>
      </c>
      <c r="AO18" s="69"/>
      <c r="AP18" s="71" t="s">
        <v>27</v>
      </c>
      <c r="AQ18" s="69"/>
      <c r="AR18" s="70" t="s">
        <v>28</v>
      </c>
      <c r="AS18" s="71" t="s">
        <v>29</v>
      </c>
      <c r="AT18" s="69"/>
      <c r="AU18" s="73" t="s">
        <v>24</v>
      </c>
      <c r="AV18" s="70" t="s">
        <v>25</v>
      </c>
      <c r="AW18" s="71" t="s">
        <v>26</v>
      </c>
      <c r="AX18" s="69"/>
      <c r="AY18" s="71" t="s">
        <v>27</v>
      </c>
      <c r="AZ18" s="72"/>
      <c r="BA18" s="69"/>
      <c r="BB18" s="71" t="s">
        <v>28</v>
      </c>
      <c r="BC18" s="69"/>
      <c r="BD18" s="70" t="s">
        <v>29</v>
      </c>
      <c r="BE18" s="68" t="s">
        <v>24</v>
      </c>
      <c r="BF18" s="72"/>
      <c r="BG18" s="72"/>
      <c r="BH18" s="69"/>
      <c r="BI18" s="70" t="s">
        <v>25</v>
      </c>
      <c r="BJ18" s="70" t="s">
        <v>26</v>
      </c>
      <c r="BK18" s="71" t="s">
        <v>27</v>
      </c>
      <c r="BL18" s="69"/>
      <c r="BM18" s="71" t="s">
        <v>28</v>
      </c>
      <c r="BN18" s="69"/>
      <c r="BO18" s="71" t="s">
        <v>29</v>
      </c>
      <c r="BP18" s="72"/>
      <c r="BQ18" s="72"/>
      <c r="BR18" s="69"/>
      <c r="BS18" s="74" t="s">
        <v>30</v>
      </c>
      <c r="BT18" s="75"/>
      <c r="BU18" s="76"/>
      <c r="BV18" s="74" t="s">
        <v>31</v>
      </c>
      <c r="BW18" s="75"/>
      <c r="BX18" s="75"/>
      <c r="BY18" s="76"/>
      <c r="BZ18" s="77"/>
      <c r="CA18" s="78"/>
      <c r="CB18" s="78"/>
      <c r="CC18" s="78"/>
      <c r="CD18" s="78"/>
      <c r="CE18" s="78"/>
      <c r="CF18" s="78"/>
      <c r="CG18" s="79"/>
    </row>
    <row r="19" spans="1:85">
      <c r="A19" s="80">
        <v>1</v>
      </c>
      <c r="B19" s="81"/>
      <c r="C19" s="81"/>
      <c r="D19" s="81"/>
      <c r="E19" s="81"/>
      <c r="F19" s="82"/>
      <c r="G19" s="83" t="str">
        <f>IFERROR(INDEX([1]INPUT_DATA_Learners!T:T,MATCH(#REF!,[1]INPUT_DATA_Learners!$A:$A,0)),"")</f>
        <v/>
      </c>
      <c r="H19" s="84"/>
      <c r="I19" s="84"/>
      <c r="J19" s="85"/>
      <c r="K19" s="86" t="s">
        <v>16</v>
      </c>
      <c r="L19" s="87"/>
      <c r="M19" s="88" t="s">
        <v>16</v>
      </c>
      <c r="N19" s="88"/>
      <c r="O19" s="89"/>
      <c r="P19" s="90"/>
      <c r="Q19" s="90"/>
      <c r="R19" s="87"/>
      <c r="S19" s="89"/>
      <c r="T19" s="90"/>
      <c r="U19" s="87"/>
      <c r="V19" s="91"/>
      <c r="W19" s="86"/>
      <c r="X19" s="90"/>
      <c r="Y19" s="87"/>
      <c r="Z19" s="88"/>
      <c r="AA19" s="88"/>
      <c r="AB19" s="89"/>
      <c r="AC19" s="90"/>
      <c r="AD19" s="87"/>
      <c r="AE19" s="89"/>
      <c r="AF19" s="90"/>
      <c r="AG19" s="87"/>
      <c r="AH19" s="91"/>
      <c r="AI19" s="86"/>
      <c r="AJ19" s="90"/>
      <c r="AK19" s="87"/>
      <c r="AL19" s="89"/>
      <c r="AM19" s="87"/>
      <c r="AN19" s="89"/>
      <c r="AO19" s="87"/>
      <c r="AP19" s="89" t="s">
        <v>16</v>
      </c>
      <c r="AQ19" s="87"/>
      <c r="AR19" s="88" t="s">
        <v>16</v>
      </c>
      <c r="AS19" s="89" t="s">
        <v>16</v>
      </c>
      <c r="AT19" s="92"/>
      <c r="AU19" s="93" t="s">
        <v>16</v>
      </c>
      <c r="AV19" s="88" t="s">
        <v>16</v>
      </c>
      <c r="AW19" s="89" t="s">
        <v>16</v>
      </c>
      <c r="AX19" s="87"/>
      <c r="AY19" s="89" t="s">
        <v>16</v>
      </c>
      <c r="AZ19" s="90"/>
      <c r="BA19" s="87"/>
      <c r="BB19" s="89" t="s">
        <v>16</v>
      </c>
      <c r="BC19" s="87"/>
      <c r="BD19" s="91" t="s">
        <v>16</v>
      </c>
      <c r="BE19" s="86" t="s">
        <v>16</v>
      </c>
      <c r="BF19" s="90"/>
      <c r="BG19" s="90"/>
      <c r="BH19" s="87"/>
      <c r="BI19" s="88" t="s">
        <v>16</v>
      </c>
      <c r="BJ19" s="88" t="s">
        <v>16</v>
      </c>
      <c r="BK19" s="89" t="s">
        <v>16</v>
      </c>
      <c r="BL19" s="87"/>
      <c r="BM19" s="89" t="s">
        <v>16</v>
      </c>
      <c r="BN19" s="87"/>
      <c r="BO19" s="89" t="s">
        <v>16</v>
      </c>
      <c r="BP19" s="90"/>
      <c r="BQ19" s="90"/>
      <c r="BR19" s="92"/>
      <c r="BS19" s="94">
        <f>COUNTIF(K19:BO19,"X")</f>
        <v>0</v>
      </c>
      <c r="BT19" s="95"/>
      <c r="BU19" s="96"/>
      <c r="BV19" s="94">
        <f>$CA$134-BS19</f>
        <v>0</v>
      </c>
      <c r="BW19" s="95"/>
      <c r="BX19" s="95"/>
      <c r="BY19" s="96"/>
      <c r="BZ19" s="97"/>
      <c r="CA19" s="98"/>
      <c r="CB19" s="98"/>
      <c r="CC19" s="98"/>
      <c r="CD19" s="98"/>
      <c r="CE19" s="98"/>
      <c r="CF19" s="98"/>
      <c r="CG19" s="99"/>
    </row>
    <row r="20" spans="1:85">
      <c r="A20" s="80">
        <v>2</v>
      </c>
      <c r="B20" s="81"/>
      <c r="C20" s="81"/>
      <c r="D20" s="81"/>
      <c r="E20" s="81"/>
      <c r="F20" s="82"/>
      <c r="G20" s="83" t="str">
        <f>IFERROR(INDEX([1]INPUT_DATA_Learners!T:T,MATCH(#REF!,[1]INPUT_DATA_Learners!$A:$A,0)),"")</f>
        <v/>
      </c>
      <c r="H20" s="84"/>
      <c r="I20" s="84"/>
      <c r="J20" s="85"/>
      <c r="K20" s="86" t="s">
        <v>16</v>
      </c>
      <c r="L20" s="87"/>
      <c r="M20" s="88" t="s">
        <v>16</v>
      </c>
      <c r="N20" s="88" t="s">
        <v>16</v>
      </c>
      <c r="O20" s="89" t="s">
        <v>16</v>
      </c>
      <c r="P20" s="90"/>
      <c r="Q20" s="90"/>
      <c r="R20" s="87"/>
      <c r="S20" s="89" t="s">
        <v>16</v>
      </c>
      <c r="T20" s="90"/>
      <c r="U20" s="87"/>
      <c r="V20" s="91" t="s">
        <v>16</v>
      </c>
      <c r="W20" s="86" t="s">
        <v>16</v>
      </c>
      <c r="X20" s="90"/>
      <c r="Y20" s="87"/>
      <c r="Z20" s="88" t="s">
        <v>16</v>
      </c>
      <c r="AA20" s="88" t="s">
        <v>16</v>
      </c>
      <c r="AB20" s="89" t="s">
        <v>16</v>
      </c>
      <c r="AC20" s="90"/>
      <c r="AD20" s="87"/>
      <c r="AE20" s="89" t="s">
        <v>16</v>
      </c>
      <c r="AF20" s="90"/>
      <c r="AG20" s="87"/>
      <c r="AH20" s="91" t="s">
        <v>16</v>
      </c>
      <c r="AI20" s="86" t="s">
        <v>16</v>
      </c>
      <c r="AJ20" s="90"/>
      <c r="AK20" s="87"/>
      <c r="AL20" s="89" t="s">
        <v>16</v>
      </c>
      <c r="AM20" s="87"/>
      <c r="AN20" s="89" t="s">
        <v>16</v>
      </c>
      <c r="AO20" s="87"/>
      <c r="AP20" s="89" t="s">
        <v>16</v>
      </c>
      <c r="AQ20" s="87"/>
      <c r="AR20" s="88" t="s">
        <v>16</v>
      </c>
      <c r="AS20" s="89" t="s">
        <v>16</v>
      </c>
      <c r="AT20" s="92"/>
      <c r="AU20" s="93" t="s">
        <v>16</v>
      </c>
      <c r="AV20" s="88" t="s">
        <v>16</v>
      </c>
      <c r="AW20" s="89" t="s">
        <v>16</v>
      </c>
      <c r="AX20" s="87"/>
      <c r="AY20" s="89" t="s">
        <v>16</v>
      </c>
      <c r="AZ20" s="90"/>
      <c r="BA20" s="87"/>
      <c r="BB20" s="89" t="s">
        <v>16</v>
      </c>
      <c r="BC20" s="87"/>
      <c r="BD20" s="91" t="s">
        <v>16</v>
      </c>
      <c r="BE20" s="86" t="s">
        <v>16</v>
      </c>
      <c r="BF20" s="90"/>
      <c r="BG20" s="90"/>
      <c r="BH20" s="87"/>
      <c r="BI20" s="88" t="s">
        <v>16</v>
      </c>
      <c r="BJ20" s="88" t="s">
        <v>16</v>
      </c>
      <c r="BK20" s="89" t="s">
        <v>16</v>
      </c>
      <c r="BL20" s="87"/>
      <c r="BM20" s="89" t="s">
        <v>16</v>
      </c>
      <c r="BN20" s="87"/>
      <c r="BO20" s="89" t="s">
        <v>16</v>
      </c>
      <c r="BP20" s="90"/>
      <c r="BQ20" s="90"/>
      <c r="BR20" s="92"/>
      <c r="BS20" s="94">
        <f>COUNTIF(K20:BO20,"X")</f>
        <v>0</v>
      </c>
      <c r="BT20" s="95"/>
      <c r="BU20" s="96"/>
      <c r="BV20" s="94">
        <f>$CA$134-BS20</f>
        <v>0</v>
      </c>
      <c r="BW20" s="95"/>
      <c r="BX20" s="95"/>
      <c r="BY20" s="96"/>
      <c r="BZ20" s="97"/>
      <c r="CA20" s="98"/>
      <c r="CB20" s="98"/>
      <c r="CC20" s="98"/>
      <c r="CD20" s="98"/>
      <c r="CE20" s="98"/>
      <c r="CF20" s="98"/>
      <c r="CG20" s="99"/>
    </row>
    <row r="21" spans="1:85">
      <c r="A21" s="80">
        <v>3</v>
      </c>
      <c r="B21" s="81"/>
      <c r="C21" s="81"/>
      <c r="D21" s="81"/>
      <c r="E21" s="81"/>
      <c r="F21" s="82"/>
      <c r="G21" s="83" t="str">
        <f>IFERROR(INDEX([1]INPUT_DATA_Learners!T:T,MATCH(#REF!,[1]INPUT_DATA_Learners!$A:$A,0)),"")</f>
        <v/>
      </c>
      <c r="H21" s="84"/>
      <c r="I21" s="84"/>
      <c r="J21" s="85"/>
      <c r="K21" s="86" t="s">
        <v>16</v>
      </c>
      <c r="L21" s="87"/>
      <c r="M21" s="88" t="s">
        <v>16</v>
      </c>
      <c r="N21" s="88" t="s">
        <v>16</v>
      </c>
      <c r="O21" s="89" t="s">
        <v>16</v>
      </c>
      <c r="P21" s="90"/>
      <c r="Q21" s="90"/>
      <c r="R21" s="87"/>
      <c r="S21" s="89" t="s">
        <v>16</v>
      </c>
      <c r="T21" s="90"/>
      <c r="U21" s="87"/>
      <c r="V21" s="91" t="s">
        <v>16</v>
      </c>
      <c r="W21" s="86" t="s">
        <v>16</v>
      </c>
      <c r="X21" s="90"/>
      <c r="Y21" s="87"/>
      <c r="Z21" s="88" t="s">
        <v>16</v>
      </c>
      <c r="AA21" s="88" t="s">
        <v>16</v>
      </c>
      <c r="AB21" s="89" t="s">
        <v>16</v>
      </c>
      <c r="AC21" s="90"/>
      <c r="AD21" s="87"/>
      <c r="AE21" s="89" t="s">
        <v>16</v>
      </c>
      <c r="AF21" s="90"/>
      <c r="AG21" s="87"/>
      <c r="AH21" s="91" t="s">
        <v>16</v>
      </c>
      <c r="AI21" s="86" t="s">
        <v>16</v>
      </c>
      <c r="AJ21" s="90"/>
      <c r="AK21" s="87"/>
      <c r="AL21" s="89" t="s">
        <v>16</v>
      </c>
      <c r="AM21" s="87"/>
      <c r="AN21" s="89" t="s">
        <v>16</v>
      </c>
      <c r="AO21" s="87"/>
      <c r="AP21" s="89" t="s">
        <v>16</v>
      </c>
      <c r="AQ21" s="87"/>
      <c r="AR21" s="88" t="s">
        <v>16</v>
      </c>
      <c r="AS21" s="89" t="s">
        <v>16</v>
      </c>
      <c r="AT21" s="92"/>
      <c r="AU21" s="93" t="s">
        <v>16</v>
      </c>
      <c r="AV21" s="88" t="s">
        <v>16</v>
      </c>
      <c r="AW21" s="89" t="s">
        <v>16</v>
      </c>
      <c r="AX21" s="87"/>
      <c r="AY21" s="89" t="s">
        <v>16</v>
      </c>
      <c r="AZ21" s="90"/>
      <c r="BA21" s="87"/>
      <c r="BB21" s="89" t="s">
        <v>16</v>
      </c>
      <c r="BC21" s="87"/>
      <c r="BD21" s="91" t="s">
        <v>16</v>
      </c>
      <c r="BE21" s="86" t="s">
        <v>16</v>
      </c>
      <c r="BF21" s="90"/>
      <c r="BG21" s="90"/>
      <c r="BH21" s="87"/>
      <c r="BI21" s="88" t="s">
        <v>16</v>
      </c>
      <c r="BJ21" s="88" t="s">
        <v>16</v>
      </c>
      <c r="BK21" s="89" t="s">
        <v>16</v>
      </c>
      <c r="BL21" s="87"/>
      <c r="BM21" s="89" t="s">
        <v>16</v>
      </c>
      <c r="BN21" s="87"/>
      <c r="BO21" s="89" t="s">
        <v>16</v>
      </c>
      <c r="BP21" s="90"/>
      <c r="BQ21" s="90"/>
      <c r="BR21" s="92"/>
      <c r="BS21" s="94">
        <f>COUNTIF(K21:BO21,"X")</f>
        <v>0</v>
      </c>
      <c r="BT21" s="95"/>
      <c r="BU21" s="96"/>
      <c r="BV21" s="94">
        <f>$CA$134-BS21</f>
        <v>0</v>
      </c>
      <c r="BW21" s="95"/>
      <c r="BX21" s="95"/>
      <c r="BY21" s="96"/>
      <c r="BZ21" s="97"/>
      <c r="CA21" s="98"/>
      <c r="CB21" s="98"/>
      <c r="CC21" s="98"/>
      <c r="CD21" s="98"/>
      <c r="CE21" s="98"/>
      <c r="CF21" s="98"/>
      <c r="CG21" s="99"/>
    </row>
    <row r="22" spans="1:85">
      <c r="A22" s="80">
        <v>4</v>
      </c>
      <c r="B22" s="81"/>
      <c r="C22" s="81"/>
      <c r="D22" s="81"/>
      <c r="E22" s="81"/>
      <c r="F22" s="82"/>
      <c r="G22" s="83" t="str">
        <f>IFERROR(INDEX([1]INPUT_DATA_Learners!T:T,MATCH(#REF!,[1]INPUT_DATA_Learners!$A:$A,0)),"")</f>
        <v/>
      </c>
      <c r="H22" s="84"/>
      <c r="I22" s="84"/>
      <c r="J22" s="85"/>
      <c r="K22" s="86" t="s">
        <v>16</v>
      </c>
      <c r="L22" s="87"/>
      <c r="M22" s="88" t="s">
        <v>16</v>
      </c>
      <c r="N22" s="88" t="s">
        <v>16</v>
      </c>
      <c r="O22" s="89" t="s">
        <v>16</v>
      </c>
      <c r="P22" s="90"/>
      <c r="Q22" s="90"/>
      <c r="R22" s="87"/>
      <c r="S22" s="89" t="s">
        <v>16</v>
      </c>
      <c r="T22" s="90"/>
      <c r="U22" s="87"/>
      <c r="V22" s="91" t="s">
        <v>16</v>
      </c>
      <c r="W22" s="86" t="s">
        <v>16</v>
      </c>
      <c r="X22" s="90"/>
      <c r="Y22" s="87"/>
      <c r="Z22" s="88" t="s">
        <v>16</v>
      </c>
      <c r="AA22" s="88" t="s">
        <v>16</v>
      </c>
      <c r="AB22" s="89" t="s">
        <v>16</v>
      </c>
      <c r="AC22" s="90"/>
      <c r="AD22" s="87"/>
      <c r="AE22" s="89" t="s">
        <v>16</v>
      </c>
      <c r="AF22" s="90"/>
      <c r="AG22" s="87"/>
      <c r="AH22" s="91" t="s">
        <v>16</v>
      </c>
      <c r="AI22" s="86" t="s">
        <v>16</v>
      </c>
      <c r="AJ22" s="90"/>
      <c r="AK22" s="87"/>
      <c r="AL22" s="89" t="s">
        <v>16</v>
      </c>
      <c r="AM22" s="87"/>
      <c r="AN22" s="89" t="s">
        <v>16</v>
      </c>
      <c r="AO22" s="87"/>
      <c r="AP22" s="89" t="s">
        <v>16</v>
      </c>
      <c r="AQ22" s="87"/>
      <c r="AR22" s="88" t="s">
        <v>16</v>
      </c>
      <c r="AS22" s="89" t="s">
        <v>16</v>
      </c>
      <c r="AT22" s="92"/>
      <c r="AU22" s="93" t="s">
        <v>16</v>
      </c>
      <c r="AV22" s="88" t="s">
        <v>16</v>
      </c>
      <c r="AW22" s="89" t="s">
        <v>16</v>
      </c>
      <c r="AX22" s="87"/>
      <c r="AY22" s="89" t="s">
        <v>16</v>
      </c>
      <c r="AZ22" s="90"/>
      <c r="BA22" s="87"/>
      <c r="BB22" s="89" t="s">
        <v>16</v>
      </c>
      <c r="BC22" s="87"/>
      <c r="BD22" s="91" t="s">
        <v>16</v>
      </c>
      <c r="BE22" s="86" t="s">
        <v>16</v>
      </c>
      <c r="BF22" s="90"/>
      <c r="BG22" s="90"/>
      <c r="BH22" s="87"/>
      <c r="BI22" s="88" t="s">
        <v>16</v>
      </c>
      <c r="BJ22" s="88" t="s">
        <v>16</v>
      </c>
      <c r="BK22" s="89" t="s">
        <v>16</v>
      </c>
      <c r="BL22" s="87"/>
      <c r="BM22" s="89" t="s">
        <v>16</v>
      </c>
      <c r="BN22" s="87"/>
      <c r="BO22" s="89" t="s">
        <v>16</v>
      </c>
      <c r="BP22" s="90"/>
      <c r="BQ22" s="90"/>
      <c r="BR22" s="92"/>
      <c r="BS22" s="94">
        <f t="shared" ref="BS22:BS72" si="0">COUNTIF(K22:BO22,"X")</f>
        <v>0</v>
      </c>
      <c r="BT22" s="95"/>
      <c r="BU22" s="96"/>
      <c r="BV22" s="94">
        <f t="shared" ref="BV22:BV72" si="1">$CA$134-BS22</f>
        <v>0</v>
      </c>
      <c r="BW22" s="95"/>
      <c r="BX22" s="95"/>
      <c r="BY22" s="96"/>
      <c r="BZ22" s="97"/>
      <c r="CA22" s="98"/>
      <c r="CB22" s="98"/>
      <c r="CC22" s="98"/>
      <c r="CD22" s="98"/>
      <c r="CE22" s="98"/>
      <c r="CF22" s="98"/>
      <c r="CG22" s="99"/>
    </row>
    <row r="23" spans="1:85">
      <c r="A23" s="80">
        <v>5</v>
      </c>
      <c r="B23" s="81"/>
      <c r="C23" s="81"/>
      <c r="D23" s="81"/>
      <c r="E23" s="81"/>
      <c r="F23" s="82"/>
      <c r="G23" s="83" t="str">
        <f>IFERROR(INDEX([1]INPUT_DATA_Learners!T:T,MATCH(#REF!,[1]INPUT_DATA_Learners!$A:$A,0)),"")</f>
        <v/>
      </c>
      <c r="H23" s="84"/>
      <c r="I23" s="84"/>
      <c r="J23" s="85"/>
      <c r="K23" s="86" t="s">
        <v>16</v>
      </c>
      <c r="L23" s="87"/>
      <c r="M23" s="88" t="s">
        <v>16</v>
      </c>
      <c r="N23" s="88" t="s">
        <v>16</v>
      </c>
      <c r="O23" s="89" t="s">
        <v>16</v>
      </c>
      <c r="P23" s="90"/>
      <c r="Q23" s="90"/>
      <c r="R23" s="87"/>
      <c r="S23" s="89" t="s">
        <v>16</v>
      </c>
      <c r="T23" s="90"/>
      <c r="U23" s="87"/>
      <c r="V23" s="91" t="s">
        <v>16</v>
      </c>
      <c r="W23" s="86" t="s">
        <v>16</v>
      </c>
      <c r="X23" s="90"/>
      <c r="Y23" s="87"/>
      <c r="Z23" s="88" t="s">
        <v>16</v>
      </c>
      <c r="AA23" s="88" t="s">
        <v>16</v>
      </c>
      <c r="AB23" s="89" t="s">
        <v>16</v>
      </c>
      <c r="AC23" s="90"/>
      <c r="AD23" s="87"/>
      <c r="AE23" s="89" t="s">
        <v>16</v>
      </c>
      <c r="AF23" s="90"/>
      <c r="AG23" s="87"/>
      <c r="AH23" s="91" t="s">
        <v>16</v>
      </c>
      <c r="AI23" s="86" t="s">
        <v>16</v>
      </c>
      <c r="AJ23" s="90"/>
      <c r="AK23" s="87"/>
      <c r="AL23" s="89" t="s">
        <v>16</v>
      </c>
      <c r="AM23" s="87"/>
      <c r="AN23" s="89" t="s">
        <v>16</v>
      </c>
      <c r="AO23" s="87"/>
      <c r="AP23" s="89" t="s">
        <v>16</v>
      </c>
      <c r="AQ23" s="87"/>
      <c r="AR23" s="88" t="s">
        <v>16</v>
      </c>
      <c r="AS23" s="89" t="s">
        <v>16</v>
      </c>
      <c r="AT23" s="92"/>
      <c r="AU23" s="93" t="s">
        <v>16</v>
      </c>
      <c r="AV23" s="88" t="s">
        <v>16</v>
      </c>
      <c r="AW23" s="89" t="s">
        <v>16</v>
      </c>
      <c r="AX23" s="87"/>
      <c r="AY23" s="89" t="s">
        <v>16</v>
      </c>
      <c r="AZ23" s="90"/>
      <c r="BA23" s="87"/>
      <c r="BB23" s="89" t="s">
        <v>16</v>
      </c>
      <c r="BC23" s="87"/>
      <c r="BD23" s="91" t="s">
        <v>16</v>
      </c>
      <c r="BE23" s="86" t="s">
        <v>16</v>
      </c>
      <c r="BF23" s="90"/>
      <c r="BG23" s="90"/>
      <c r="BH23" s="87"/>
      <c r="BI23" s="88" t="s">
        <v>16</v>
      </c>
      <c r="BJ23" s="88" t="s">
        <v>16</v>
      </c>
      <c r="BK23" s="89" t="s">
        <v>16</v>
      </c>
      <c r="BL23" s="87"/>
      <c r="BM23" s="89" t="s">
        <v>16</v>
      </c>
      <c r="BN23" s="87"/>
      <c r="BO23" s="89" t="s">
        <v>16</v>
      </c>
      <c r="BP23" s="90"/>
      <c r="BQ23" s="90"/>
      <c r="BR23" s="92"/>
      <c r="BS23" s="94">
        <f t="shared" si="0"/>
        <v>0</v>
      </c>
      <c r="BT23" s="95"/>
      <c r="BU23" s="96"/>
      <c r="BV23" s="94">
        <f t="shared" si="1"/>
        <v>0</v>
      </c>
      <c r="BW23" s="95"/>
      <c r="BX23" s="95"/>
      <c r="BY23" s="96"/>
      <c r="BZ23" s="97"/>
      <c r="CA23" s="98"/>
      <c r="CB23" s="98"/>
      <c r="CC23" s="98"/>
      <c r="CD23" s="98"/>
      <c r="CE23" s="98"/>
      <c r="CF23" s="98"/>
      <c r="CG23" s="99"/>
    </row>
    <row r="24" spans="1:85">
      <c r="A24" s="80">
        <v>6</v>
      </c>
      <c r="B24" s="81"/>
      <c r="C24" s="81"/>
      <c r="D24" s="81"/>
      <c r="E24" s="81"/>
      <c r="F24" s="82"/>
      <c r="G24" s="83" t="str">
        <f>IFERROR(INDEX([1]INPUT_DATA_Learners!T:T,MATCH(#REF!,[1]INPUT_DATA_Learners!$A:$A,0)),"")</f>
        <v/>
      </c>
      <c r="H24" s="84"/>
      <c r="I24" s="84"/>
      <c r="J24" s="85"/>
      <c r="K24" s="86" t="s">
        <v>16</v>
      </c>
      <c r="L24" s="87"/>
      <c r="M24" s="88" t="s">
        <v>16</v>
      </c>
      <c r="N24" s="88" t="s">
        <v>16</v>
      </c>
      <c r="O24" s="89" t="s">
        <v>16</v>
      </c>
      <c r="P24" s="90"/>
      <c r="Q24" s="90"/>
      <c r="R24" s="87"/>
      <c r="S24" s="89" t="s">
        <v>16</v>
      </c>
      <c r="T24" s="90"/>
      <c r="U24" s="87"/>
      <c r="V24" s="91" t="s">
        <v>16</v>
      </c>
      <c r="W24" s="86" t="s">
        <v>16</v>
      </c>
      <c r="X24" s="90"/>
      <c r="Y24" s="87"/>
      <c r="Z24" s="88" t="s">
        <v>16</v>
      </c>
      <c r="AA24" s="88" t="s">
        <v>16</v>
      </c>
      <c r="AB24" s="89" t="s">
        <v>16</v>
      </c>
      <c r="AC24" s="90"/>
      <c r="AD24" s="87"/>
      <c r="AE24" s="89" t="s">
        <v>16</v>
      </c>
      <c r="AF24" s="90"/>
      <c r="AG24" s="87"/>
      <c r="AH24" s="91" t="s">
        <v>16</v>
      </c>
      <c r="AI24" s="86" t="s">
        <v>16</v>
      </c>
      <c r="AJ24" s="90"/>
      <c r="AK24" s="87"/>
      <c r="AL24" s="89" t="s">
        <v>16</v>
      </c>
      <c r="AM24" s="87"/>
      <c r="AN24" s="89" t="s">
        <v>16</v>
      </c>
      <c r="AO24" s="87"/>
      <c r="AP24" s="89" t="s">
        <v>16</v>
      </c>
      <c r="AQ24" s="87"/>
      <c r="AR24" s="88" t="s">
        <v>16</v>
      </c>
      <c r="AS24" s="89" t="s">
        <v>16</v>
      </c>
      <c r="AT24" s="92"/>
      <c r="AU24" s="93" t="s">
        <v>16</v>
      </c>
      <c r="AV24" s="88" t="s">
        <v>16</v>
      </c>
      <c r="AW24" s="89" t="s">
        <v>16</v>
      </c>
      <c r="AX24" s="87"/>
      <c r="AY24" s="89" t="s">
        <v>16</v>
      </c>
      <c r="AZ24" s="90"/>
      <c r="BA24" s="87"/>
      <c r="BB24" s="89" t="s">
        <v>16</v>
      </c>
      <c r="BC24" s="87"/>
      <c r="BD24" s="91" t="s">
        <v>16</v>
      </c>
      <c r="BE24" s="86" t="s">
        <v>16</v>
      </c>
      <c r="BF24" s="90"/>
      <c r="BG24" s="90"/>
      <c r="BH24" s="87"/>
      <c r="BI24" s="88" t="s">
        <v>16</v>
      </c>
      <c r="BJ24" s="88" t="s">
        <v>16</v>
      </c>
      <c r="BK24" s="89" t="s">
        <v>16</v>
      </c>
      <c r="BL24" s="87"/>
      <c r="BM24" s="89" t="s">
        <v>16</v>
      </c>
      <c r="BN24" s="87"/>
      <c r="BO24" s="89" t="s">
        <v>16</v>
      </c>
      <c r="BP24" s="90"/>
      <c r="BQ24" s="90"/>
      <c r="BR24" s="92"/>
      <c r="BS24" s="94">
        <f t="shared" si="0"/>
        <v>0</v>
      </c>
      <c r="BT24" s="95"/>
      <c r="BU24" s="96"/>
      <c r="BV24" s="94">
        <f t="shared" si="1"/>
        <v>0</v>
      </c>
      <c r="BW24" s="95"/>
      <c r="BX24" s="95"/>
      <c r="BY24" s="96"/>
      <c r="BZ24" s="97"/>
      <c r="CA24" s="98"/>
      <c r="CB24" s="98"/>
      <c r="CC24" s="98"/>
      <c r="CD24" s="98"/>
      <c r="CE24" s="98"/>
      <c r="CF24" s="98"/>
      <c r="CG24" s="99"/>
    </row>
    <row r="25" spans="1:85">
      <c r="A25" s="80">
        <v>7</v>
      </c>
      <c r="B25" s="81"/>
      <c r="C25" s="81"/>
      <c r="D25" s="81"/>
      <c r="E25" s="81"/>
      <c r="F25" s="82"/>
      <c r="G25" s="83" t="str">
        <f>IFERROR(INDEX([1]INPUT_DATA_Learners!T:T,MATCH(#REF!,[1]INPUT_DATA_Learners!$A:$A,0)),"")</f>
        <v/>
      </c>
      <c r="H25" s="84"/>
      <c r="I25" s="84"/>
      <c r="J25" s="85"/>
      <c r="K25" s="86" t="s">
        <v>16</v>
      </c>
      <c r="L25" s="87"/>
      <c r="M25" s="88" t="s">
        <v>16</v>
      </c>
      <c r="N25" s="88" t="s">
        <v>16</v>
      </c>
      <c r="O25" s="89" t="s">
        <v>16</v>
      </c>
      <c r="P25" s="90"/>
      <c r="Q25" s="90"/>
      <c r="R25" s="87"/>
      <c r="S25" s="89" t="s">
        <v>16</v>
      </c>
      <c r="T25" s="90"/>
      <c r="U25" s="87"/>
      <c r="V25" s="91" t="s">
        <v>16</v>
      </c>
      <c r="W25" s="86" t="s">
        <v>16</v>
      </c>
      <c r="X25" s="90"/>
      <c r="Y25" s="87"/>
      <c r="Z25" s="88" t="s">
        <v>16</v>
      </c>
      <c r="AA25" s="88" t="s">
        <v>16</v>
      </c>
      <c r="AB25" s="89" t="s">
        <v>16</v>
      </c>
      <c r="AC25" s="90"/>
      <c r="AD25" s="87"/>
      <c r="AE25" s="89" t="s">
        <v>16</v>
      </c>
      <c r="AF25" s="90"/>
      <c r="AG25" s="87"/>
      <c r="AH25" s="91" t="s">
        <v>16</v>
      </c>
      <c r="AI25" s="86" t="s">
        <v>16</v>
      </c>
      <c r="AJ25" s="90"/>
      <c r="AK25" s="87"/>
      <c r="AL25" s="89" t="s">
        <v>16</v>
      </c>
      <c r="AM25" s="87"/>
      <c r="AN25" s="89" t="s">
        <v>16</v>
      </c>
      <c r="AO25" s="87"/>
      <c r="AP25" s="89" t="s">
        <v>16</v>
      </c>
      <c r="AQ25" s="87"/>
      <c r="AR25" s="88" t="s">
        <v>16</v>
      </c>
      <c r="AS25" s="89" t="s">
        <v>16</v>
      </c>
      <c r="AT25" s="92"/>
      <c r="AU25" s="93" t="s">
        <v>16</v>
      </c>
      <c r="AV25" s="88" t="s">
        <v>16</v>
      </c>
      <c r="AW25" s="89" t="s">
        <v>16</v>
      </c>
      <c r="AX25" s="87"/>
      <c r="AY25" s="89" t="s">
        <v>16</v>
      </c>
      <c r="AZ25" s="90"/>
      <c r="BA25" s="87"/>
      <c r="BB25" s="89" t="s">
        <v>16</v>
      </c>
      <c r="BC25" s="87"/>
      <c r="BD25" s="91" t="s">
        <v>16</v>
      </c>
      <c r="BE25" s="86" t="s">
        <v>16</v>
      </c>
      <c r="BF25" s="90"/>
      <c r="BG25" s="90"/>
      <c r="BH25" s="87"/>
      <c r="BI25" s="88" t="s">
        <v>16</v>
      </c>
      <c r="BJ25" s="88" t="s">
        <v>16</v>
      </c>
      <c r="BK25" s="89" t="s">
        <v>16</v>
      </c>
      <c r="BL25" s="87"/>
      <c r="BM25" s="89" t="s">
        <v>16</v>
      </c>
      <c r="BN25" s="87"/>
      <c r="BO25" s="89" t="s">
        <v>16</v>
      </c>
      <c r="BP25" s="90"/>
      <c r="BQ25" s="90"/>
      <c r="BR25" s="92"/>
      <c r="BS25" s="94">
        <f t="shared" si="0"/>
        <v>0</v>
      </c>
      <c r="BT25" s="95"/>
      <c r="BU25" s="96"/>
      <c r="BV25" s="94">
        <f t="shared" si="1"/>
        <v>0</v>
      </c>
      <c r="BW25" s="95"/>
      <c r="BX25" s="95"/>
      <c r="BY25" s="96"/>
      <c r="BZ25" s="97"/>
      <c r="CA25" s="98"/>
      <c r="CB25" s="98"/>
      <c r="CC25" s="98"/>
      <c r="CD25" s="98"/>
      <c r="CE25" s="98"/>
      <c r="CF25" s="98"/>
      <c r="CG25" s="99"/>
    </row>
    <row r="26" spans="1:85">
      <c r="A26" s="80">
        <v>8</v>
      </c>
      <c r="B26" s="81"/>
      <c r="C26" s="81"/>
      <c r="D26" s="81"/>
      <c r="E26" s="81"/>
      <c r="F26" s="82"/>
      <c r="G26" s="83" t="str">
        <f>IFERROR(INDEX([1]INPUT_DATA_Learners!T:T,MATCH(#REF!,[1]INPUT_DATA_Learners!$A:$A,0)),"")</f>
        <v/>
      </c>
      <c r="H26" s="84"/>
      <c r="I26" s="84"/>
      <c r="J26" s="85"/>
      <c r="K26" s="86" t="s">
        <v>16</v>
      </c>
      <c r="L26" s="87"/>
      <c r="M26" s="88" t="s">
        <v>16</v>
      </c>
      <c r="N26" s="88" t="s">
        <v>16</v>
      </c>
      <c r="O26" s="89" t="s">
        <v>16</v>
      </c>
      <c r="P26" s="90"/>
      <c r="Q26" s="90"/>
      <c r="R26" s="87"/>
      <c r="S26" s="89" t="s">
        <v>16</v>
      </c>
      <c r="T26" s="90"/>
      <c r="U26" s="87"/>
      <c r="V26" s="91" t="s">
        <v>16</v>
      </c>
      <c r="W26" s="86" t="s">
        <v>16</v>
      </c>
      <c r="X26" s="90"/>
      <c r="Y26" s="87"/>
      <c r="Z26" s="88" t="s">
        <v>16</v>
      </c>
      <c r="AA26" s="88" t="s">
        <v>16</v>
      </c>
      <c r="AB26" s="89" t="s">
        <v>16</v>
      </c>
      <c r="AC26" s="90"/>
      <c r="AD26" s="87"/>
      <c r="AE26" s="89" t="s">
        <v>16</v>
      </c>
      <c r="AF26" s="90"/>
      <c r="AG26" s="87"/>
      <c r="AH26" s="91" t="s">
        <v>16</v>
      </c>
      <c r="AI26" s="86" t="s">
        <v>16</v>
      </c>
      <c r="AJ26" s="90"/>
      <c r="AK26" s="87"/>
      <c r="AL26" s="89" t="s">
        <v>16</v>
      </c>
      <c r="AM26" s="87"/>
      <c r="AN26" s="89" t="s">
        <v>16</v>
      </c>
      <c r="AO26" s="87"/>
      <c r="AP26" s="89" t="s">
        <v>16</v>
      </c>
      <c r="AQ26" s="87"/>
      <c r="AR26" s="88" t="s">
        <v>16</v>
      </c>
      <c r="AS26" s="89" t="s">
        <v>16</v>
      </c>
      <c r="AT26" s="92"/>
      <c r="AU26" s="93" t="s">
        <v>16</v>
      </c>
      <c r="AV26" s="88" t="s">
        <v>16</v>
      </c>
      <c r="AW26" s="89" t="s">
        <v>16</v>
      </c>
      <c r="AX26" s="87"/>
      <c r="AY26" s="89" t="s">
        <v>16</v>
      </c>
      <c r="AZ26" s="90"/>
      <c r="BA26" s="87"/>
      <c r="BB26" s="89" t="s">
        <v>16</v>
      </c>
      <c r="BC26" s="87"/>
      <c r="BD26" s="91" t="s">
        <v>16</v>
      </c>
      <c r="BE26" s="86" t="s">
        <v>16</v>
      </c>
      <c r="BF26" s="90"/>
      <c r="BG26" s="90"/>
      <c r="BH26" s="87"/>
      <c r="BI26" s="88" t="s">
        <v>16</v>
      </c>
      <c r="BJ26" s="88" t="s">
        <v>16</v>
      </c>
      <c r="BK26" s="89" t="s">
        <v>16</v>
      </c>
      <c r="BL26" s="87"/>
      <c r="BM26" s="89" t="s">
        <v>16</v>
      </c>
      <c r="BN26" s="87"/>
      <c r="BO26" s="89" t="s">
        <v>16</v>
      </c>
      <c r="BP26" s="90"/>
      <c r="BQ26" s="90"/>
      <c r="BR26" s="92"/>
      <c r="BS26" s="94">
        <f t="shared" si="0"/>
        <v>0</v>
      </c>
      <c r="BT26" s="95"/>
      <c r="BU26" s="96"/>
      <c r="BV26" s="94">
        <f t="shared" si="1"/>
        <v>0</v>
      </c>
      <c r="BW26" s="95"/>
      <c r="BX26" s="95"/>
      <c r="BY26" s="96"/>
      <c r="BZ26" s="97"/>
      <c r="CA26" s="98"/>
      <c r="CB26" s="98"/>
      <c r="CC26" s="98"/>
      <c r="CD26" s="98"/>
      <c r="CE26" s="98"/>
      <c r="CF26" s="98"/>
      <c r="CG26" s="99"/>
    </row>
    <row r="27" spans="1:85">
      <c r="A27" s="80">
        <v>9</v>
      </c>
      <c r="B27" s="81"/>
      <c r="C27" s="81"/>
      <c r="D27" s="81"/>
      <c r="E27" s="81"/>
      <c r="F27" s="82"/>
      <c r="G27" s="83" t="str">
        <f>IFERROR(INDEX([1]INPUT_DATA_Learners!T:T,MATCH(#REF!,[1]INPUT_DATA_Learners!$A:$A,0)),"")</f>
        <v/>
      </c>
      <c r="H27" s="84"/>
      <c r="I27" s="84"/>
      <c r="J27" s="85"/>
      <c r="K27" s="86" t="s">
        <v>16</v>
      </c>
      <c r="L27" s="87"/>
      <c r="M27" s="88" t="s">
        <v>16</v>
      </c>
      <c r="N27" s="88" t="s">
        <v>16</v>
      </c>
      <c r="O27" s="89" t="s">
        <v>16</v>
      </c>
      <c r="P27" s="90"/>
      <c r="Q27" s="90"/>
      <c r="R27" s="87"/>
      <c r="S27" s="89" t="s">
        <v>16</v>
      </c>
      <c r="T27" s="90"/>
      <c r="U27" s="87"/>
      <c r="V27" s="91" t="s">
        <v>16</v>
      </c>
      <c r="W27" s="86" t="s">
        <v>16</v>
      </c>
      <c r="X27" s="90"/>
      <c r="Y27" s="87"/>
      <c r="Z27" s="88" t="s">
        <v>16</v>
      </c>
      <c r="AA27" s="88" t="s">
        <v>16</v>
      </c>
      <c r="AB27" s="89" t="s">
        <v>16</v>
      </c>
      <c r="AC27" s="90"/>
      <c r="AD27" s="87"/>
      <c r="AE27" s="89" t="s">
        <v>16</v>
      </c>
      <c r="AF27" s="90"/>
      <c r="AG27" s="87"/>
      <c r="AH27" s="91" t="s">
        <v>16</v>
      </c>
      <c r="AI27" s="86" t="s">
        <v>16</v>
      </c>
      <c r="AJ27" s="90"/>
      <c r="AK27" s="87"/>
      <c r="AL27" s="89" t="s">
        <v>16</v>
      </c>
      <c r="AM27" s="87"/>
      <c r="AN27" s="89" t="s">
        <v>16</v>
      </c>
      <c r="AO27" s="87"/>
      <c r="AP27" s="89" t="s">
        <v>16</v>
      </c>
      <c r="AQ27" s="87"/>
      <c r="AR27" s="88" t="s">
        <v>16</v>
      </c>
      <c r="AS27" s="89" t="s">
        <v>16</v>
      </c>
      <c r="AT27" s="92"/>
      <c r="AU27" s="93" t="s">
        <v>16</v>
      </c>
      <c r="AV27" s="88" t="s">
        <v>16</v>
      </c>
      <c r="AW27" s="89" t="s">
        <v>16</v>
      </c>
      <c r="AX27" s="87"/>
      <c r="AY27" s="89" t="s">
        <v>16</v>
      </c>
      <c r="AZ27" s="90"/>
      <c r="BA27" s="87"/>
      <c r="BB27" s="89" t="s">
        <v>16</v>
      </c>
      <c r="BC27" s="87"/>
      <c r="BD27" s="91" t="s">
        <v>16</v>
      </c>
      <c r="BE27" s="86" t="s">
        <v>16</v>
      </c>
      <c r="BF27" s="90"/>
      <c r="BG27" s="90"/>
      <c r="BH27" s="87"/>
      <c r="BI27" s="88" t="s">
        <v>16</v>
      </c>
      <c r="BJ27" s="88" t="s">
        <v>16</v>
      </c>
      <c r="BK27" s="89" t="s">
        <v>16</v>
      </c>
      <c r="BL27" s="87"/>
      <c r="BM27" s="89" t="s">
        <v>16</v>
      </c>
      <c r="BN27" s="87"/>
      <c r="BO27" s="89" t="s">
        <v>16</v>
      </c>
      <c r="BP27" s="90"/>
      <c r="BQ27" s="90"/>
      <c r="BR27" s="92"/>
      <c r="BS27" s="94">
        <f t="shared" si="0"/>
        <v>0</v>
      </c>
      <c r="BT27" s="95"/>
      <c r="BU27" s="96"/>
      <c r="BV27" s="94">
        <f t="shared" si="1"/>
        <v>0</v>
      </c>
      <c r="BW27" s="95"/>
      <c r="BX27" s="95"/>
      <c r="BY27" s="96"/>
      <c r="BZ27" s="97"/>
      <c r="CA27" s="98"/>
      <c r="CB27" s="98"/>
      <c r="CC27" s="98"/>
      <c r="CD27" s="98"/>
      <c r="CE27" s="98"/>
      <c r="CF27" s="98"/>
      <c r="CG27" s="99"/>
    </row>
    <row r="28" spans="1:85">
      <c r="A28" s="80">
        <v>10</v>
      </c>
      <c r="B28" s="81"/>
      <c r="C28" s="81"/>
      <c r="D28" s="81"/>
      <c r="E28" s="81"/>
      <c r="F28" s="82"/>
      <c r="G28" s="83" t="str">
        <f>IFERROR(INDEX([1]INPUT_DATA_Learners!T:T,MATCH(#REF!,[1]INPUT_DATA_Learners!$A:$A,0)),"")</f>
        <v/>
      </c>
      <c r="H28" s="84"/>
      <c r="I28" s="84"/>
      <c r="J28" s="85"/>
      <c r="K28" s="86" t="s">
        <v>16</v>
      </c>
      <c r="L28" s="87"/>
      <c r="M28" s="88" t="s">
        <v>16</v>
      </c>
      <c r="N28" s="88" t="s">
        <v>16</v>
      </c>
      <c r="O28" s="89" t="s">
        <v>16</v>
      </c>
      <c r="P28" s="90"/>
      <c r="Q28" s="90"/>
      <c r="R28" s="87"/>
      <c r="S28" s="89" t="s">
        <v>16</v>
      </c>
      <c r="T28" s="90"/>
      <c r="U28" s="87"/>
      <c r="V28" s="91" t="s">
        <v>16</v>
      </c>
      <c r="W28" s="86" t="s">
        <v>16</v>
      </c>
      <c r="X28" s="90"/>
      <c r="Y28" s="87"/>
      <c r="Z28" s="88" t="s">
        <v>16</v>
      </c>
      <c r="AA28" s="88" t="s">
        <v>16</v>
      </c>
      <c r="AB28" s="89" t="s">
        <v>16</v>
      </c>
      <c r="AC28" s="90"/>
      <c r="AD28" s="87"/>
      <c r="AE28" s="89" t="s">
        <v>16</v>
      </c>
      <c r="AF28" s="90"/>
      <c r="AG28" s="87"/>
      <c r="AH28" s="91" t="s">
        <v>16</v>
      </c>
      <c r="AI28" s="86" t="s">
        <v>16</v>
      </c>
      <c r="AJ28" s="90"/>
      <c r="AK28" s="87"/>
      <c r="AL28" s="89" t="s">
        <v>16</v>
      </c>
      <c r="AM28" s="87"/>
      <c r="AN28" s="89" t="s">
        <v>16</v>
      </c>
      <c r="AO28" s="87"/>
      <c r="AP28" s="89" t="s">
        <v>16</v>
      </c>
      <c r="AQ28" s="87"/>
      <c r="AR28" s="88" t="s">
        <v>16</v>
      </c>
      <c r="AS28" s="89" t="s">
        <v>16</v>
      </c>
      <c r="AT28" s="92"/>
      <c r="AU28" s="93" t="s">
        <v>16</v>
      </c>
      <c r="AV28" s="88" t="s">
        <v>16</v>
      </c>
      <c r="AW28" s="89" t="s">
        <v>16</v>
      </c>
      <c r="AX28" s="87"/>
      <c r="AY28" s="89" t="s">
        <v>16</v>
      </c>
      <c r="AZ28" s="90"/>
      <c r="BA28" s="87"/>
      <c r="BB28" s="89" t="s">
        <v>16</v>
      </c>
      <c r="BC28" s="87"/>
      <c r="BD28" s="91" t="s">
        <v>16</v>
      </c>
      <c r="BE28" s="86" t="s">
        <v>16</v>
      </c>
      <c r="BF28" s="90"/>
      <c r="BG28" s="90"/>
      <c r="BH28" s="87"/>
      <c r="BI28" s="88" t="s">
        <v>16</v>
      </c>
      <c r="BJ28" s="88" t="s">
        <v>16</v>
      </c>
      <c r="BK28" s="89" t="s">
        <v>16</v>
      </c>
      <c r="BL28" s="87"/>
      <c r="BM28" s="89" t="s">
        <v>16</v>
      </c>
      <c r="BN28" s="87"/>
      <c r="BO28" s="89" t="s">
        <v>16</v>
      </c>
      <c r="BP28" s="90"/>
      <c r="BQ28" s="90"/>
      <c r="BR28" s="92"/>
      <c r="BS28" s="94">
        <f t="shared" si="0"/>
        <v>0</v>
      </c>
      <c r="BT28" s="95"/>
      <c r="BU28" s="96"/>
      <c r="BV28" s="94">
        <f t="shared" si="1"/>
        <v>0</v>
      </c>
      <c r="BW28" s="95"/>
      <c r="BX28" s="95"/>
      <c r="BY28" s="96"/>
      <c r="BZ28" s="97"/>
      <c r="CA28" s="98"/>
      <c r="CB28" s="98"/>
      <c r="CC28" s="98"/>
      <c r="CD28" s="98"/>
      <c r="CE28" s="98"/>
      <c r="CF28" s="98"/>
      <c r="CG28" s="99"/>
    </row>
    <row r="29" spans="1:85">
      <c r="A29" s="80">
        <v>11</v>
      </c>
      <c r="B29" s="81"/>
      <c r="C29" s="81"/>
      <c r="D29" s="81"/>
      <c r="E29" s="81"/>
      <c r="F29" s="82"/>
      <c r="G29" s="83" t="str">
        <f>IFERROR(INDEX([1]INPUT_DATA_Learners!T:T,MATCH(#REF!,[1]INPUT_DATA_Learners!$A:$A,0)),"")</f>
        <v/>
      </c>
      <c r="H29" s="84"/>
      <c r="I29" s="84"/>
      <c r="J29" s="85"/>
      <c r="K29" s="86" t="s">
        <v>16</v>
      </c>
      <c r="L29" s="87"/>
      <c r="M29" s="88" t="s">
        <v>16</v>
      </c>
      <c r="N29" s="88" t="s">
        <v>16</v>
      </c>
      <c r="O29" s="89" t="s">
        <v>16</v>
      </c>
      <c r="P29" s="90"/>
      <c r="Q29" s="90"/>
      <c r="R29" s="87"/>
      <c r="S29" s="89" t="s">
        <v>16</v>
      </c>
      <c r="T29" s="90"/>
      <c r="U29" s="87"/>
      <c r="V29" s="91" t="s">
        <v>16</v>
      </c>
      <c r="W29" s="86" t="s">
        <v>16</v>
      </c>
      <c r="X29" s="90"/>
      <c r="Y29" s="87"/>
      <c r="Z29" s="88" t="s">
        <v>16</v>
      </c>
      <c r="AA29" s="88" t="s">
        <v>16</v>
      </c>
      <c r="AB29" s="89" t="s">
        <v>16</v>
      </c>
      <c r="AC29" s="90"/>
      <c r="AD29" s="87"/>
      <c r="AE29" s="89" t="s">
        <v>16</v>
      </c>
      <c r="AF29" s="90"/>
      <c r="AG29" s="87"/>
      <c r="AH29" s="91" t="s">
        <v>16</v>
      </c>
      <c r="AI29" s="86" t="s">
        <v>16</v>
      </c>
      <c r="AJ29" s="90"/>
      <c r="AK29" s="87"/>
      <c r="AL29" s="89" t="s">
        <v>16</v>
      </c>
      <c r="AM29" s="87"/>
      <c r="AN29" s="89" t="s">
        <v>16</v>
      </c>
      <c r="AO29" s="87"/>
      <c r="AP29" s="89" t="s">
        <v>16</v>
      </c>
      <c r="AQ29" s="87"/>
      <c r="AR29" s="88" t="s">
        <v>16</v>
      </c>
      <c r="AS29" s="89" t="s">
        <v>16</v>
      </c>
      <c r="AT29" s="92"/>
      <c r="AU29" s="93" t="s">
        <v>16</v>
      </c>
      <c r="AV29" s="88" t="s">
        <v>16</v>
      </c>
      <c r="AW29" s="89" t="s">
        <v>16</v>
      </c>
      <c r="AX29" s="87"/>
      <c r="AY29" s="89" t="s">
        <v>16</v>
      </c>
      <c r="AZ29" s="90"/>
      <c r="BA29" s="87"/>
      <c r="BB29" s="89" t="s">
        <v>16</v>
      </c>
      <c r="BC29" s="87"/>
      <c r="BD29" s="91" t="s">
        <v>16</v>
      </c>
      <c r="BE29" s="86" t="s">
        <v>16</v>
      </c>
      <c r="BF29" s="90"/>
      <c r="BG29" s="90"/>
      <c r="BH29" s="87"/>
      <c r="BI29" s="88" t="s">
        <v>16</v>
      </c>
      <c r="BJ29" s="88" t="s">
        <v>16</v>
      </c>
      <c r="BK29" s="89" t="s">
        <v>16</v>
      </c>
      <c r="BL29" s="87"/>
      <c r="BM29" s="89" t="s">
        <v>16</v>
      </c>
      <c r="BN29" s="87"/>
      <c r="BO29" s="89" t="s">
        <v>16</v>
      </c>
      <c r="BP29" s="90"/>
      <c r="BQ29" s="90"/>
      <c r="BR29" s="92"/>
      <c r="BS29" s="94">
        <f t="shared" si="0"/>
        <v>0</v>
      </c>
      <c r="BT29" s="95"/>
      <c r="BU29" s="96"/>
      <c r="BV29" s="94">
        <f t="shared" si="1"/>
        <v>0</v>
      </c>
      <c r="BW29" s="95"/>
      <c r="BX29" s="95"/>
      <c r="BY29" s="96"/>
      <c r="BZ29" s="97"/>
      <c r="CA29" s="98"/>
      <c r="CB29" s="98"/>
      <c r="CC29" s="98"/>
      <c r="CD29" s="98"/>
      <c r="CE29" s="98"/>
      <c r="CF29" s="98"/>
      <c r="CG29" s="99"/>
    </row>
    <row r="30" spans="1:85">
      <c r="A30" s="80">
        <v>12</v>
      </c>
      <c r="B30" s="81"/>
      <c r="C30" s="81"/>
      <c r="D30" s="81"/>
      <c r="E30" s="81"/>
      <c r="F30" s="82"/>
      <c r="G30" s="83" t="str">
        <f>IFERROR(INDEX([1]INPUT_DATA_Learners!T:T,MATCH(#REF!,[1]INPUT_DATA_Learners!$A:$A,0)),"")</f>
        <v/>
      </c>
      <c r="H30" s="84"/>
      <c r="I30" s="84"/>
      <c r="J30" s="85"/>
      <c r="K30" s="86" t="s">
        <v>16</v>
      </c>
      <c r="L30" s="87"/>
      <c r="M30" s="88" t="s">
        <v>16</v>
      </c>
      <c r="N30" s="88" t="s">
        <v>16</v>
      </c>
      <c r="O30" s="89" t="s">
        <v>16</v>
      </c>
      <c r="P30" s="90"/>
      <c r="Q30" s="90"/>
      <c r="R30" s="87"/>
      <c r="S30" s="89" t="s">
        <v>16</v>
      </c>
      <c r="T30" s="90"/>
      <c r="U30" s="87"/>
      <c r="V30" s="91" t="s">
        <v>16</v>
      </c>
      <c r="W30" s="86" t="s">
        <v>16</v>
      </c>
      <c r="X30" s="90"/>
      <c r="Y30" s="87"/>
      <c r="Z30" s="88" t="s">
        <v>16</v>
      </c>
      <c r="AA30" s="88" t="s">
        <v>16</v>
      </c>
      <c r="AB30" s="89" t="s">
        <v>16</v>
      </c>
      <c r="AC30" s="90"/>
      <c r="AD30" s="87"/>
      <c r="AE30" s="89" t="s">
        <v>16</v>
      </c>
      <c r="AF30" s="90"/>
      <c r="AG30" s="87"/>
      <c r="AH30" s="91" t="s">
        <v>16</v>
      </c>
      <c r="AI30" s="86" t="s">
        <v>16</v>
      </c>
      <c r="AJ30" s="90"/>
      <c r="AK30" s="87"/>
      <c r="AL30" s="89" t="s">
        <v>16</v>
      </c>
      <c r="AM30" s="87"/>
      <c r="AN30" s="89" t="s">
        <v>16</v>
      </c>
      <c r="AO30" s="87"/>
      <c r="AP30" s="89" t="s">
        <v>16</v>
      </c>
      <c r="AQ30" s="87"/>
      <c r="AR30" s="88" t="s">
        <v>16</v>
      </c>
      <c r="AS30" s="89" t="s">
        <v>16</v>
      </c>
      <c r="AT30" s="92"/>
      <c r="AU30" s="93" t="s">
        <v>16</v>
      </c>
      <c r="AV30" s="88" t="s">
        <v>16</v>
      </c>
      <c r="AW30" s="89" t="s">
        <v>16</v>
      </c>
      <c r="AX30" s="87"/>
      <c r="AY30" s="89" t="s">
        <v>16</v>
      </c>
      <c r="AZ30" s="90"/>
      <c r="BA30" s="87"/>
      <c r="BB30" s="89" t="s">
        <v>16</v>
      </c>
      <c r="BC30" s="87"/>
      <c r="BD30" s="91" t="s">
        <v>16</v>
      </c>
      <c r="BE30" s="86" t="s">
        <v>16</v>
      </c>
      <c r="BF30" s="90"/>
      <c r="BG30" s="90"/>
      <c r="BH30" s="87"/>
      <c r="BI30" s="88" t="s">
        <v>16</v>
      </c>
      <c r="BJ30" s="88" t="s">
        <v>16</v>
      </c>
      <c r="BK30" s="89" t="s">
        <v>16</v>
      </c>
      <c r="BL30" s="87"/>
      <c r="BM30" s="89" t="s">
        <v>16</v>
      </c>
      <c r="BN30" s="87"/>
      <c r="BO30" s="89" t="s">
        <v>16</v>
      </c>
      <c r="BP30" s="90"/>
      <c r="BQ30" s="90"/>
      <c r="BR30" s="92"/>
      <c r="BS30" s="94">
        <f t="shared" si="0"/>
        <v>0</v>
      </c>
      <c r="BT30" s="95"/>
      <c r="BU30" s="96"/>
      <c r="BV30" s="94">
        <f t="shared" si="1"/>
        <v>0</v>
      </c>
      <c r="BW30" s="95"/>
      <c r="BX30" s="95"/>
      <c r="BY30" s="96"/>
      <c r="BZ30" s="97"/>
      <c r="CA30" s="98"/>
      <c r="CB30" s="98"/>
      <c r="CC30" s="98"/>
      <c r="CD30" s="98"/>
      <c r="CE30" s="98"/>
      <c r="CF30" s="98"/>
      <c r="CG30" s="99"/>
    </row>
    <row r="31" spans="1:85">
      <c r="A31" s="80">
        <v>13</v>
      </c>
      <c r="B31" s="81"/>
      <c r="C31" s="81"/>
      <c r="D31" s="81"/>
      <c r="E31" s="81"/>
      <c r="F31" s="82"/>
      <c r="G31" s="83" t="str">
        <f>IFERROR(INDEX([1]INPUT_DATA_Learners!T:T,MATCH(#REF!,[1]INPUT_DATA_Learners!$A:$A,0)),"")</f>
        <v/>
      </c>
      <c r="H31" s="84"/>
      <c r="I31" s="84"/>
      <c r="J31" s="85"/>
      <c r="K31" s="86" t="s">
        <v>16</v>
      </c>
      <c r="L31" s="87"/>
      <c r="M31" s="88" t="s">
        <v>16</v>
      </c>
      <c r="N31" s="88" t="s">
        <v>16</v>
      </c>
      <c r="O31" s="89" t="s">
        <v>16</v>
      </c>
      <c r="P31" s="90"/>
      <c r="Q31" s="90"/>
      <c r="R31" s="87"/>
      <c r="S31" s="89" t="s">
        <v>16</v>
      </c>
      <c r="T31" s="90"/>
      <c r="U31" s="87"/>
      <c r="V31" s="91" t="s">
        <v>16</v>
      </c>
      <c r="W31" s="86" t="s">
        <v>16</v>
      </c>
      <c r="X31" s="90"/>
      <c r="Y31" s="87"/>
      <c r="Z31" s="88" t="s">
        <v>16</v>
      </c>
      <c r="AA31" s="88" t="s">
        <v>16</v>
      </c>
      <c r="AB31" s="89" t="s">
        <v>16</v>
      </c>
      <c r="AC31" s="90"/>
      <c r="AD31" s="87"/>
      <c r="AE31" s="89" t="s">
        <v>16</v>
      </c>
      <c r="AF31" s="90"/>
      <c r="AG31" s="87"/>
      <c r="AH31" s="91" t="s">
        <v>16</v>
      </c>
      <c r="AI31" s="86" t="s">
        <v>16</v>
      </c>
      <c r="AJ31" s="90"/>
      <c r="AK31" s="87"/>
      <c r="AL31" s="89" t="s">
        <v>16</v>
      </c>
      <c r="AM31" s="87"/>
      <c r="AN31" s="89" t="s">
        <v>16</v>
      </c>
      <c r="AO31" s="87"/>
      <c r="AP31" s="89" t="s">
        <v>16</v>
      </c>
      <c r="AQ31" s="87"/>
      <c r="AR31" s="88" t="s">
        <v>16</v>
      </c>
      <c r="AS31" s="89" t="s">
        <v>16</v>
      </c>
      <c r="AT31" s="92"/>
      <c r="AU31" s="93" t="s">
        <v>16</v>
      </c>
      <c r="AV31" s="88" t="s">
        <v>16</v>
      </c>
      <c r="AW31" s="89" t="s">
        <v>16</v>
      </c>
      <c r="AX31" s="87"/>
      <c r="AY31" s="89" t="s">
        <v>16</v>
      </c>
      <c r="AZ31" s="90"/>
      <c r="BA31" s="87"/>
      <c r="BB31" s="89" t="s">
        <v>16</v>
      </c>
      <c r="BC31" s="87"/>
      <c r="BD31" s="91" t="s">
        <v>16</v>
      </c>
      <c r="BE31" s="86" t="s">
        <v>16</v>
      </c>
      <c r="BF31" s="90"/>
      <c r="BG31" s="90"/>
      <c r="BH31" s="87"/>
      <c r="BI31" s="88" t="s">
        <v>16</v>
      </c>
      <c r="BJ31" s="88" t="s">
        <v>16</v>
      </c>
      <c r="BK31" s="89" t="s">
        <v>16</v>
      </c>
      <c r="BL31" s="87"/>
      <c r="BM31" s="89" t="s">
        <v>16</v>
      </c>
      <c r="BN31" s="87"/>
      <c r="BO31" s="89" t="s">
        <v>16</v>
      </c>
      <c r="BP31" s="90"/>
      <c r="BQ31" s="90"/>
      <c r="BR31" s="92"/>
      <c r="BS31" s="94">
        <f t="shared" si="0"/>
        <v>0</v>
      </c>
      <c r="BT31" s="95"/>
      <c r="BU31" s="96"/>
      <c r="BV31" s="94">
        <f t="shared" si="1"/>
        <v>0</v>
      </c>
      <c r="BW31" s="95"/>
      <c r="BX31" s="95"/>
      <c r="BY31" s="96"/>
      <c r="BZ31" s="97"/>
      <c r="CA31" s="98"/>
      <c r="CB31" s="98"/>
      <c r="CC31" s="98"/>
      <c r="CD31" s="98"/>
      <c r="CE31" s="98"/>
      <c r="CF31" s="98"/>
      <c r="CG31" s="99"/>
    </row>
    <row r="32" spans="1:85">
      <c r="A32" s="80">
        <v>14</v>
      </c>
      <c r="B32" s="81"/>
      <c r="C32" s="81"/>
      <c r="D32" s="81"/>
      <c r="E32" s="81"/>
      <c r="F32" s="82"/>
      <c r="G32" s="83" t="str">
        <f>IFERROR(INDEX([1]INPUT_DATA_Learners!T:T,MATCH(#REF!,[1]INPUT_DATA_Learners!$A:$A,0)),"")</f>
        <v/>
      </c>
      <c r="H32" s="84"/>
      <c r="I32" s="84"/>
      <c r="J32" s="85"/>
      <c r="K32" s="86" t="s">
        <v>16</v>
      </c>
      <c r="L32" s="87"/>
      <c r="M32" s="88" t="s">
        <v>16</v>
      </c>
      <c r="N32" s="88" t="s">
        <v>16</v>
      </c>
      <c r="O32" s="89" t="s">
        <v>16</v>
      </c>
      <c r="P32" s="90"/>
      <c r="Q32" s="90"/>
      <c r="R32" s="87"/>
      <c r="S32" s="89" t="s">
        <v>16</v>
      </c>
      <c r="T32" s="90"/>
      <c r="U32" s="87"/>
      <c r="V32" s="91" t="s">
        <v>16</v>
      </c>
      <c r="W32" s="86" t="s">
        <v>16</v>
      </c>
      <c r="X32" s="90"/>
      <c r="Y32" s="87"/>
      <c r="Z32" s="88" t="s">
        <v>16</v>
      </c>
      <c r="AA32" s="88" t="s">
        <v>16</v>
      </c>
      <c r="AB32" s="89" t="s">
        <v>16</v>
      </c>
      <c r="AC32" s="90"/>
      <c r="AD32" s="87"/>
      <c r="AE32" s="89" t="s">
        <v>16</v>
      </c>
      <c r="AF32" s="90"/>
      <c r="AG32" s="87"/>
      <c r="AH32" s="91" t="s">
        <v>16</v>
      </c>
      <c r="AI32" s="86" t="s">
        <v>16</v>
      </c>
      <c r="AJ32" s="90"/>
      <c r="AK32" s="87"/>
      <c r="AL32" s="89" t="s">
        <v>16</v>
      </c>
      <c r="AM32" s="87"/>
      <c r="AN32" s="89" t="s">
        <v>16</v>
      </c>
      <c r="AO32" s="87"/>
      <c r="AP32" s="89" t="s">
        <v>16</v>
      </c>
      <c r="AQ32" s="87"/>
      <c r="AR32" s="88" t="s">
        <v>16</v>
      </c>
      <c r="AS32" s="89" t="s">
        <v>16</v>
      </c>
      <c r="AT32" s="92"/>
      <c r="AU32" s="93" t="s">
        <v>16</v>
      </c>
      <c r="AV32" s="88" t="s">
        <v>16</v>
      </c>
      <c r="AW32" s="89" t="s">
        <v>16</v>
      </c>
      <c r="AX32" s="87"/>
      <c r="AY32" s="89" t="s">
        <v>16</v>
      </c>
      <c r="AZ32" s="90"/>
      <c r="BA32" s="87"/>
      <c r="BB32" s="89" t="s">
        <v>16</v>
      </c>
      <c r="BC32" s="87"/>
      <c r="BD32" s="91" t="s">
        <v>16</v>
      </c>
      <c r="BE32" s="86" t="s">
        <v>16</v>
      </c>
      <c r="BF32" s="90"/>
      <c r="BG32" s="90"/>
      <c r="BH32" s="87"/>
      <c r="BI32" s="88" t="s">
        <v>16</v>
      </c>
      <c r="BJ32" s="88" t="s">
        <v>16</v>
      </c>
      <c r="BK32" s="89" t="s">
        <v>16</v>
      </c>
      <c r="BL32" s="87"/>
      <c r="BM32" s="89" t="s">
        <v>16</v>
      </c>
      <c r="BN32" s="87"/>
      <c r="BO32" s="89" t="s">
        <v>16</v>
      </c>
      <c r="BP32" s="90"/>
      <c r="BQ32" s="90"/>
      <c r="BR32" s="92"/>
      <c r="BS32" s="94">
        <f t="shared" si="0"/>
        <v>0</v>
      </c>
      <c r="BT32" s="95"/>
      <c r="BU32" s="96"/>
      <c r="BV32" s="94">
        <f t="shared" si="1"/>
        <v>0</v>
      </c>
      <c r="BW32" s="95"/>
      <c r="BX32" s="95"/>
      <c r="BY32" s="96"/>
      <c r="BZ32" s="97"/>
      <c r="CA32" s="98"/>
      <c r="CB32" s="98"/>
      <c r="CC32" s="98"/>
      <c r="CD32" s="98"/>
      <c r="CE32" s="98"/>
      <c r="CF32" s="98"/>
      <c r="CG32" s="99"/>
    </row>
    <row r="33" spans="1:85">
      <c r="A33" s="80">
        <v>15</v>
      </c>
      <c r="B33" s="81"/>
      <c r="C33" s="81"/>
      <c r="D33" s="81"/>
      <c r="E33" s="81"/>
      <c r="F33" s="82"/>
      <c r="G33" s="83" t="str">
        <f>IFERROR(INDEX([1]INPUT_DATA_Learners!T:T,MATCH(#REF!,[1]INPUT_DATA_Learners!$A:$A,0)),"")</f>
        <v/>
      </c>
      <c r="H33" s="84"/>
      <c r="I33" s="84"/>
      <c r="J33" s="85"/>
      <c r="K33" s="86" t="s">
        <v>16</v>
      </c>
      <c r="L33" s="87"/>
      <c r="M33" s="88" t="s">
        <v>16</v>
      </c>
      <c r="N33" s="88" t="s">
        <v>16</v>
      </c>
      <c r="O33" s="89" t="s">
        <v>16</v>
      </c>
      <c r="P33" s="90"/>
      <c r="Q33" s="90"/>
      <c r="R33" s="87"/>
      <c r="S33" s="89" t="s">
        <v>16</v>
      </c>
      <c r="T33" s="90"/>
      <c r="U33" s="87"/>
      <c r="V33" s="91" t="s">
        <v>16</v>
      </c>
      <c r="W33" s="86" t="s">
        <v>16</v>
      </c>
      <c r="X33" s="90"/>
      <c r="Y33" s="87"/>
      <c r="Z33" s="88" t="s">
        <v>16</v>
      </c>
      <c r="AA33" s="88" t="s">
        <v>16</v>
      </c>
      <c r="AB33" s="89" t="s">
        <v>16</v>
      </c>
      <c r="AC33" s="90"/>
      <c r="AD33" s="87"/>
      <c r="AE33" s="89" t="s">
        <v>16</v>
      </c>
      <c r="AF33" s="90"/>
      <c r="AG33" s="87"/>
      <c r="AH33" s="91" t="s">
        <v>16</v>
      </c>
      <c r="AI33" s="86" t="s">
        <v>16</v>
      </c>
      <c r="AJ33" s="90"/>
      <c r="AK33" s="87"/>
      <c r="AL33" s="89" t="s">
        <v>16</v>
      </c>
      <c r="AM33" s="87"/>
      <c r="AN33" s="89" t="s">
        <v>16</v>
      </c>
      <c r="AO33" s="87"/>
      <c r="AP33" s="89" t="s">
        <v>16</v>
      </c>
      <c r="AQ33" s="87"/>
      <c r="AR33" s="88" t="s">
        <v>16</v>
      </c>
      <c r="AS33" s="89" t="s">
        <v>16</v>
      </c>
      <c r="AT33" s="92"/>
      <c r="AU33" s="93" t="s">
        <v>16</v>
      </c>
      <c r="AV33" s="88" t="s">
        <v>16</v>
      </c>
      <c r="AW33" s="89" t="s">
        <v>16</v>
      </c>
      <c r="AX33" s="87"/>
      <c r="AY33" s="89" t="s">
        <v>16</v>
      </c>
      <c r="AZ33" s="90"/>
      <c r="BA33" s="87"/>
      <c r="BB33" s="89" t="s">
        <v>16</v>
      </c>
      <c r="BC33" s="87"/>
      <c r="BD33" s="91" t="s">
        <v>16</v>
      </c>
      <c r="BE33" s="86" t="s">
        <v>16</v>
      </c>
      <c r="BF33" s="90"/>
      <c r="BG33" s="90"/>
      <c r="BH33" s="87"/>
      <c r="BI33" s="88" t="s">
        <v>16</v>
      </c>
      <c r="BJ33" s="88" t="s">
        <v>16</v>
      </c>
      <c r="BK33" s="89" t="s">
        <v>16</v>
      </c>
      <c r="BL33" s="87"/>
      <c r="BM33" s="89" t="s">
        <v>16</v>
      </c>
      <c r="BN33" s="87"/>
      <c r="BO33" s="89" t="s">
        <v>16</v>
      </c>
      <c r="BP33" s="90"/>
      <c r="BQ33" s="90"/>
      <c r="BR33" s="92"/>
      <c r="BS33" s="94">
        <f t="shared" si="0"/>
        <v>0</v>
      </c>
      <c r="BT33" s="95"/>
      <c r="BU33" s="96"/>
      <c r="BV33" s="94">
        <f t="shared" si="1"/>
        <v>0</v>
      </c>
      <c r="BW33" s="95"/>
      <c r="BX33" s="95"/>
      <c r="BY33" s="96"/>
      <c r="BZ33" s="97"/>
      <c r="CA33" s="98"/>
      <c r="CB33" s="98"/>
      <c r="CC33" s="98"/>
      <c r="CD33" s="98"/>
      <c r="CE33" s="98"/>
      <c r="CF33" s="98"/>
      <c r="CG33" s="99"/>
    </row>
    <row r="34" spans="1:85">
      <c r="A34" s="80">
        <v>16</v>
      </c>
      <c r="B34" s="81"/>
      <c r="C34" s="81"/>
      <c r="D34" s="81"/>
      <c r="E34" s="81"/>
      <c r="F34" s="82"/>
      <c r="G34" s="83" t="str">
        <f>IFERROR(INDEX([1]INPUT_DATA_Learners!T:T,MATCH(#REF!,[1]INPUT_DATA_Learners!$A:$A,0)),"")</f>
        <v/>
      </c>
      <c r="H34" s="84"/>
      <c r="I34" s="84"/>
      <c r="J34" s="85"/>
      <c r="K34" s="86" t="s">
        <v>16</v>
      </c>
      <c r="L34" s="87"/>
      <c r="M34" s="88" t="s">
        <v>16</v>
      </c>
      <c r="N34" s="88" t="s">
        <v>16</v>
      </c>
      <c r="O34" s="89" t="s">
        <v>16</v>
      </c>
      <c r="P34" s="90"/>
      <c r="Q34" s="90"/>
      <c r="R34" s="87"/>
      <c r="S34" s="89" t="s">
        <v>16</v>
      </c>
      <c r="T34" s="90"/>
      <c r="U34" s="87"/>
      <c r="V34" s="91" t="s">
        <v>16</v>
      </c>
      <c r="W34" s="86" t="s">
        <v>16</v>
      </c>
      <c r="X34" s="90"/>
      <c r="Y34" s="87"/>
      <c r="Z34" s="88" t="s">
        <v>16</v>
      </c>
      <c r="AA34" s="88" t="s">
        <v>16</v>
      </c>
      <c r="AB34" s="89" t="s">
        <v>16</v>
      </c>
      <c r="AC34" s="90"/>
      <c r="AD34" s="87"/>
      <c r="AE34" s="89" t="s">
        <v>16</v>
      </c>
      <c r="AF34" s="90"/>
      <c r="AG34" s="87"/>
      <c r="AH34" s="91" t="s">
        <v>16</v>
      </c>
      <c r="AI34" s="86" t="s">
        <v>16</v>
      </c>
      <c r="AJ34" s="90"/>
      <c r="AK34" s="87"/>
      <c r="AL34" s="89" t="s">
        <v>16</v>
      </c>
      <c r="AM34" s="87"/>
      <c r="AN34" s="89" t="s">
        <v>16</v>
      </c>
      <c r="AO34" s="87"/>
      <c r="AP34" s="89" t="s">
        <v>16</v>
      </c>
      <c r="AQ34" s="87"/>
      <c r="AR34" s="88" t="s">
        <v>16</v>
      </c>
      <c r="AS34" s="89" t="s">
        <v>16</v>
      </c>
      <c r="AT34" s="92"/>
      <c r="AU34" s="93" t="s">
        <v>16</v>
      </c>
      <c r="AV34" s="88" t="s">
        <v>16</v>
      </c>
      <c r="AW34" s="89" t="s">
        <v>16</v>
      </c>
      <c r="AX34" s="87"/>
      <c r="AY34" s="89" t="s">
        <v>16</v>
      </c>
      <c r="AZ34" s="90"/>
      <c r="BA34" s="87"/>
      <c r="BB34" s="89" t="s">
        <v>16</v>
      </c>
      <c r="BC34" s="87"/>
      <c r="BD34" s="91" t="s">
        <v>16</v>
      </c>
      <c r="BE34" s="86" t="s">
        <v>16</v>
      </c>
      <c r="BF34" s="90"/>
      <c r="BG34" s="90"/>
      <c r="BH34" s="87"/>
      <c r="BI34" s="88" t="s">
        <v>16</v>
      </c>
      <c r="BJ34" s="88" t="s">
        <v>16</v>
      </c>
      <c r="BK34" s="89" t="s">
        <v>16</v>
      </c>
      <c r="BL34" s="87"/>
      <c r="BM34" s="89" t="s">
        <v>16</v>
      </c>
      <c r="BN34" s="87"/>
      <c r="BO34" s="89" t="s">
        <v>16</v>
      </c>
      <c r="BP34" s="90"/>
      <c r="BQ34" s="90"/>
      <c r="BR34" s="92"/>
      <c r="BS34" s="94">
        <f t="shared" si="0"/>
        <v>0</v>
      </c>
      <c r="BT34" s="95"/>
      <c r="BU34" s="96"/>
      <c r="BV34" s="94">
        <f t="shared" si="1"/>
        <v>0</v>
      </c>
      <c r="BW34" s="95"/>
      <c r="BX34" s="95"/>
      <c r="BY34" s="96"/>
      <c r="BZ34" s="97"/>
      <c r="CA34" s="98"/>
      <c r="CB34" s="98"/>
      <c r="CC34" s="98"/>
      <c r="CD34" s="98"/>
      <c r="CE34" s="98"/>
      <c r="CF34" s="98"/>
      <c r="CG34" s="99"/>
    </row>
    <row r="35" spans="1:85">
      <c r="A35" s="80">
        <v>17</v>
      </c>
      <c r="B35" s="81"/>
      <c r="C35" s="81"/>
      <c r="D35" s="81"/>
      <c r="E35" s="81"/>
      <c r="F35" s="82"/>
      <c r="G35" s="83" t="str">
        <f>IFERROR(INDEX([1]INPUT_DATA_Learners!T:T,MATCH(#REF!,[1]INPUT_DATA_Learners!$A:$A,0)),"")</f>
        <v/>
      </c>
      <c r="H35" s="84"/>
      <c r="I35" s="84"/>
      <c r="J35" s="85"/>
      <c r="K35" s="86" t="s">
        <v>16</v>
      </c>
      <c r="L35" s="87"/>
      <c r="M35" s="88" t="s">
        <v>16</v>
      </c>
      <c r="N35" s="88" t="s">
        <v>16</v>
      </c>
      <c r="O35" s="89" t="s">
        <v>16</v>
      </c>
      <c r="P35" s="90"/>
      <c r="Q35" s="90"/>
      <c r="R35" s="87"/>
      <c r="S35" s="89" t="s">
        <v>16</v>
      </c>
      <c r="T35" s="90"/>
      <c r="U35" s="87"/>
      <c r="V35" s="91" t="s">
        <v>16</v>
      </c>
      <c r="W35" s="86" t="s">
        <v>16</v>
      </c>
      <c r="X35" s="90"/>
      <c r="Y35" s="87"/>
      <c r="Z35" s="88" t="s">
        <v>16</v>
      </c>
      <c r="AA35" s="88" t="s">
        <v>16</v>
      </c>
      <c r="AB35" s="89" t="s">
        <v>16</v>
      </c>
      <c r="AC35" s="90"/>
      <c r="AD35" s="87"/>
      <c r="AE35" s="89" t="s">
        <v>16</v>
      </c>
      <c r="AF35" s="90"/>
      <c r="AG35" s="87"/>
      <c r="AH35" s="91" t="s">
        <v>16</v>
      </c>
      <c r="AI35" s="86" t="s">
        <v>16</v>
      </c>
      <c r="AJ35" s="90"/>
      <c r="AK35" s="87"/>
      <c r="AL35" s="89" t="s">
        <v>16</v>
      </c>
      <c r="AM35" s="87"/>
      <c r="AN35" s="89" t="s">
        <v>16</v>
      </c>
      <c r="AO35" s="87"/>
      <c r="AP35" s="89" t="s">
        <v>16</v>
      </c>
      <c r="AQ35" s="87"/>
      <c r="AR35" s="88" t="s">
        <v>16</v>
      </c>
      <c r="AS35" s="89" t="s">
        <v>16</v>
      </c>
      <c r="AT35" s="92"/>
      <c r="AU35" s="93" t="s">
        <v>16</v>
      </c>
      <c r="AV35" s="88" t="s">
        <v>16</v>
      </c>
      <c r="AW35" s="89" t="s">
        <v>16</v>
      </c>
      <c r="AX35" s="87"/>
      <c r="AY35" s="89" t="s">
        <v>16</v>
      </c>
      <c r="AZ35" s="90"/>
      <c r="BA35" s="87"/>
      <c r="BB35" s="89" t="s">
        <v>16</v>
      </c>
      <c r="BC35" s="87"/>
      <c r="BD35" s="91" t="s">
        <v>16</v>
      </c>
      <c r="BE35" s="86" t="s">
        <v>16</v>
      </c>
      <c r="BF35" s="90"/>
      <c r="BG35" s="90"/>
      <c r="BH35" s="87"/>
      <c r="BI35" s="88" t="s">
        <v>16</v>
      </c>
      <c r="BJ35" s="88" t="s">
        <v>16</v>
      </c>
      <c r="BK35" s="89" t="s">
        <v>16</v>
      </c>
      <c r="BL35" s="87"/>
      <c r="BM35" s="89" t="s">
        <v>16</v>
      </c>
      <c r="BN35" s="87"/>
      <c r="BO35" s="89" t="s">
        <v>16</v>
      </c>
      <c r="BP35" s="90"/>
      <c r="BQ35" s="90"/>
      <c r="BR35" s="92"/>
      <c r="BS35" s="94">
        <f t="shared" si="0"/>
        <v>0</v>
      </c>
      <c r="BT35" s="95"/>
      <c r="BU35" s="96"/>
      <c r="BV35" s="94">
        <f t="shared" si="1"/>
        <v>0</v>
      </c>
      <c r="BW35" s="95"/>
      <c r="BX35" s="95"/>
      <c r="BY35" s="96"/>
      <c r="BZ35" s="97"/>
      <c r="CA35" s="98"/>
      <c r="CB35" s="98"/>
      <c r="CC35" s="98"/>
      <c r="CD35" s="98"/>
      <c r="CE35" s="98"/>
      <c r="CF35" s="98"/>
      <c r="CG35" s="99"/>
    </row>
    <row r="36" spans="1:85">
      <c r="A36" s="80">
        <v>18</v>
      </c>
      <c r="B36" s="81"/>
      <c r="C36" s="81"/>
      <c r="D36" s="81"/>
      <c r="E36" s="81"/>
      <c r="F36" s="82"/>
      <c r="G36" s="83" t="str">
        <f>IFERROR(INDEX([1]INPUT_DATA_Learners!T:T,MATCH(#REF!,[1]INPUT_DATA_Learners!$A:$A,0)),"")</f>
        <v/>
      </c>
      <c r="H36" s="84"/>
      <c r="I36" s="84"/>
      <c r="J36" s="85"/>
      <c r="K36" s="86" t="s">
        <v>16</v>
      </c>
      <c r="L36" s="87"/>
      <c r="M36" s="88" t="s">
        <v>16</v>
      </c>
      <c r="N36" s="88" t="s">
        <v>16</v>
      </c>
      <c r="O36" s="89" t="s">
        <v>16</v>
      </c>
      <c r="P36" s="90"/>
      <c r="Q36" s="90"/>
      <c r="R36" s="87"/>
      <c r="S36" s="89" t="s">
        <v>16</v>
      </c>
      <c r="T36" s="90"/>
      <c r="U36" s="87"/>
      <c r="V36" s="91" t="s">
        <v>16</v>
      </c>
      <c r="W36" s="86" t="s">
        <v>16</v>
      </c>
      <c r="X36" s="90"/>
      <c r="Y36" s="87"/>
      <c r="Z36" s="88" t="s">
        <v>16</v>
      </c>
      <c r="AA36" s="88" t="s">
        <v>16</v>
      </c>
      <c r="AB36" s="89" t="s">
        <v>16</v>
      </c>
      <c r="AC36" s="90"/>
      <c r="AD36" s="87"/>
      <c r="AE36" s="89" t="s">
        <v>16</v>
      </c>
      <c r="AF36" s="90"/>
      <c r="AG36" s="87"/>
      <c r="AH36" s="91" t="s">
        <v>16</v>
      </c>
      <c r="AI36" s="86" t="s">
        <v>16</v>
      </c>
      <c r="AJ36" s="90"/>
      <c r="AK36" s="87"/>
      <c r="AL36" s="89" t="s">
        <v>16</v>
      </c>
      <c r="AM36" s="87"/>
      <c r="AN36" s="89" t="s">
        <v>16</v>
      </c>
      <c r="AO36" s="87"/>
      <c r="AP36" s="89" t="s">
        <v>16</v>
      </c>
      <c r="AQ36" s="87"/>
      <c r="AR36" s="88" t="s">
        <v>16</v>
      </c>
      <c r="AS36" s="89" t="s">
        <v>16</v>
      </c>
      <c r="AT36" s="92"/>
      <c r="AU36" s="93" t="s">
        <v>16</v>
      </c>
      <c r="AV36" s="88" t="s">
        <v>16</v>
      </c>
      <c r="AW36" s="89" t="s">
        <v>16</v>
      </c>
      <c r="AX36" s="87"/>
      <c r="AY36" s="89" t="s">
        <v>16</v>
      </c>
      <c r="AZ36" s="90"/>
      <c r="BA36" s="87"/>
      <c r="BB36" s="89" t="s">
        <v>16</v>
      </c>
      <c r="BC36" s="87"/>
      <c r="BD36" s="91" t="s">
        <v>16</v>
      </c>
      <c r="BE36" s="86" t="s">
        <v>16</v>
      </c>
      <c r="BF36" s="90"/>
      <c r="BG36" s="90"/>
      <c r="BH36" s="87"/>
      <c r="BI36" s="88" t="s">
        <v>16</v>
      </c>
      <c r="BJ36" s="88" t="s">
        <v>16</v>
      </c>
      <c r="BK36" s="89" t="s">
        <v>16</v>
      </c>
      <c r="BL36" s="87"/>
      <c r="BM36" s="89" t="s">
        <v>16</v>
      </c>
      <c r="BN36" s="87"/>
      <c r="BO36" s="89" t="s">
        <v>16</v>
      </c>
      <c r="BP36" s="90"/>
      <c r="BQ36" s="90"/>
      <c r="BR36" s="92"/>
      <c r="BS36" s="94">
        <f t="shared" si="0"/>
        <v>0</v>
      </c>
      <c r="BT36" s="95"/>
      <c r="BU36" s="96"/>
      <c r="BV36" s="94">
        <f t="shared" si="1"/>
        <v>0</v>
      </c>
      <c r="BW36" s="95"/>
      <c r="BX36" s="95"/>
      <c r="BY36" s="96"/>
      <c r="BZ36" s="97"/>
      <c r="CA36" s="98"/>
      <c r="CB36" s="98"/>
      <c r="CC36" s="98"/>
      <c r="CD36" s="98"/>
      <c r="CE36" s="98"/>
      <c r="CF36" s="98"/>
      <c r="CG36" s="99"/>
    </row>
    <row r="37" spans="1:85">
      <c r="A37" s="80">
        <v>19</v>
      </c>
      <c r="B37" s="81"/>
      <c r="C37" s="81"/>
      <c r="D37" s="81"/>
      <c r="E37" s="81"/>
      <c r="F37" s="82"/>
      <c r="G37" s="83" t="str">
        <f>IFERROR(INDEX([1]INPUT_DATA_Learners!T:T,MATCH(#REF!,[1]INPUT_DATA_Learners!$A:$A,0)),"")</f>
        <v/>
      </c>
      <c r="H37" s="84"/>
      <c r="I37" s="84"/>
      <c r="J37" s="85"/>
      <c r="K37" s="86" t="s">
        <v>16</v>
      </c>
      <c r="L37" s="87"/>
      <c r="M37" s="88" t="s">
        <v>16</v>
      </c>
      <c r="N37" s="88" t="s">
        <v>16</v>
      </c>
      <c r="O37" s="89" t="s">
        <v>16</v>
      </c>
      <c r="P37" s="90"/>
      <c r="Q37" s="90"/>
      <c r="R37" s="87"/>
      <c r="S37" s="89" t="s">
        <v>16</v>
      </c>
      <c r="T37" s="90"/>
      <c r="U37" s="87"/>
      <c r="V37" s="91" t="s">
        <v>16</v>
      </c>
      <c r="W37" s="86" t="s">
        <v>16</v>
      </c>
      <c r="X37" s="90"/>
      <c r="Y37" s="87"/>
      <c r="Z37" s="88" t="s">
        <v>16</v>
      </c>
      <c r="AA37" s="88" t="s">
        <v>16</v>
      </c>
      <c r="AB37" s="89" t="s">
        <v>16</v>
      </c>
      <c r="AC37" s="90"/>
      <c r="AD37" s="87"/>
      <c r="AE37" s="89" t="s">
        <v>16</v>
      </c>
      <c r="AF37" s="90"/>
      <c r="AG37" s="87"/>
      <c r="AH37" s="91" t="s">
        <v>16</v>
      </c>
      <c r="AI37" s="86" t="s">
        <v>16</v>
      </c>
      <c r="AJ37" s="90"/>
      <c r="AK37" s="87"/>
      <c r="AL37" s="89" t="s">
        <v>16</v>
      </c>
      <c r="AM37" s="87"/>
      <c r="AN37" s="89" t="s">
        <v>16</v>
      </c>
      <c r="AO37" s="87"/>
      <c r="AP37" s="89" t="s">
        <v>16</v>
      </c>
      <c r="AQ37" s="87"/>
      <c r="AR37" s="88" t="s">
        <v>16</v>
      </c>
      <c r="AS37" s="89" t="s">
        <v>16</v>
      </c>
      <c r="AT37" s="92"/>
      <c r="AU37" s="93" t="s">
        <v>16</v>
      </c>
      <c r="AV37" s="88" t="s">
        <v>16</v>
      </c>
      <c r="AW37" s="89" t="s">
        <v>16</v>
      </c>
      <c r="AX37" s="87"/>
      <c r="AY37" s="89" t="s">
        <v>16</v>
      </c>
      <c r="AZ37" s="90"/>
      <c r="BA37" s="87"/>
      <c r="BB37" s="89" t="s">
        <v>16</v>
      </c>
      <c r="BC37" s="87"/>
      <c r="BD37" s="91" t="s">
        <v>16</v>
      </c>
      <c r="BE37" s="86" t="s">
        <v>16</v>
      </c>
      <c r="BF37" s="90"/>
      <c r="BG37" s="90"/>
      <c r="BH37" s="87"/>
      <c r="BI37" s="88" t="s">
        <v>16</v>
      </c>
      <c r="BJ37" s="88" t="s">
        <v>16</v>
      </c>
      <c r="BK37" s="89" t="s">
        <v>16</v>
      </c>
      <c r="BL37" s="87"/>
      <c r="BM37" s="89" t="s">
        <v>16</v>
      </c>
      <c r="BN37" s="87"/>
      <c r="BO37" s="89" t="s">
        <v>16</v>
      </c>
      <c r="BP37" s="90"/>
      <c r="BQ37" s="90"/>
      <c r="BR37" s="92"/>
      <c r="BS37" s="94">
        <f t="shared" si="0"/>
        <v>0</v>
      </c>
      <c r="BT37" s="95"/>
      <c r="BU37" s="96"/>
      <c r="BV37" s="94">
        <f t="shared" si="1"/>
        <v>0</v>
      </c>
      <c r="BW37" s="95"/>
      <c r="BX37" s="95"/>
      <c r="BY37" s="96"/>
      <c r="BZ37" s="97"/>
      <c r="CA37" s="98"/>
      <c r="CB37" s="98"/>
      <c r="CC37" s="98"/>
      <c r="CD37" s="98"/>
      <c r="CE37" s="98"/>
      <c r="CF37" s="98"/>
      <c r="CG37" s="99"/>
    </row>
    <row r="38" spans="1:85">
      <c r="A38" s="80">
        <v>20</v>
      </c>
      <c r="B38" s="81"/>
      <c r="C38" s="81"/>
      <c r="D38" s="81"/>
      <c r="E38" s="81"/>
      <c r="F38" s="82"/>
      <c r="G38" s="83" t="str">
        <f>IFERROR(INDEX([1]INPUT_DATA_Learners!T:T,MATCH(#REF!,[1]INPUT_DATA_Learners!$A:$A,0)),"")</f>
        <v/>
      </c>
      <c r="H38" s="84"/>
      <c r="I38" s="84"/>
      <c r="J38" s="85"/>
      <c r="K38" s="86" t="s">
        <v>16</v>
      </c>
      <c r="L38" s="87"/>
      <c r="M38" s="88" t="s">
        <v>16</v>
      </c>
      <c r="N38" s="88" t="s">
        <v>16</v>
      </c>
      <c r="O38" s="89" t="s">
        <v>16</v>
      </c>
      <c r="P38" s="90"/>
      <c r="Q38" s="90"/>
      <c r="R38" s="87"/>
      <c r="S38" s="89" t="s">
        <v>16</v>
      </c>
      <c r="T38" s="90"/>
      <c r="U38" s="87"/>
      <c r="V38" s="91" t="s">
        <v>16</v>
      </c>
      <c r="W38" s="86" t="s">
        <v>16</v>
      </c>
      <c r="X38" s="90"/>
      <c r="Y38" s="87"/>
      <c r="Z38" s="88" t="s">
        <v>16</v>
      </c>
      <c r="AA38" s="88" t="s">
        <v>16</v>
      </c>
      <c r="AB38" s="89" t="s">
        <v>16</v>
      </c>
      <c r="AC38" s="90"/>
      <c r="AD38" s="87"/>
      <c r="AE38" s="89" t="s">
        <v>16</v>
      </c>
      <c r="AF38" s="90"/>
      <c r="AG38" s="87"/>
      <c r="AH38" s="91" t="s">
        <v>16</v>
      </c>
      <c r="AI38" s="86" t="s">
        <v>16</v>
      </c>
      <c r="AJ38" s="90"/>
      <c r="AK38" s="87"/>
      <c r="AL38" s="89" t="s">
        <v>16</v>
      </c>
      <c r="AM38" s="87"/>
      <c r="AN38" s="89" t="s">
        <v>16</v>
      </c>
      <c r="AO38" s="87"/>
      <c r="AP38" s="89" t="s">
        <v>16</v>
      </c>
      <c r="AQ38" s="87"/>
      <c r="AR38" s="88" t="s">
        <v>16</v>
      </c>
      <c r="AS38" s="89" t="s">
        <v>16</v>
      </c>
      <c r="AT38" s="92"/>
      <c r="AU38" s="93" t="s">
        <v>16</v>
      </c>
      <c r="AV38" s="88" t="s">
        <v>16</v>
      </c>
      <c r="AW38" s="89" t="s">
        <v>16</v>
      </c>
      <c r="AX38" s="87"/>
      <c r="AY38" s="89" t="s">
        <v>16</v>
      </c>
      <c r="AZ38" s="90"/>
      <c r="BA38" s="87"/>
      <c r="BB38" s="89" t="s">
        <v>16</v>
      </c>
      <c r="BC38" s="87"/>
      <c r="BD38" s="91" t="s">
        <v>16</v>
      </c>
      <c r="BE38" s="86" t="s">
        <v>16</v>
      </c>
      <c r="BF38" s="90"/>
      <c r="BG38" s="90"/>
      <c r="BH38" s="87"/>
      <c r="BI38" s="88" t="s">
        <v>16</v>
      </c>
      <c r="BJ38" s="88" t="s">
        <v>16</v>
      </c>
      <c r="BK38" s="89" t="s">
        <v>16</v>
      </c>
      <c r="BL38" s="87"/>
      <c r="BM38" s="89" t="s">
        <v>16</v>
      </c>
      <c r="BN38" s="87"/>
      <c r="BO38" s="89" t="s">
        <v>16</v>
      </c>
      <c r="BP38" s="90"/>
      <c r="BQ38" s="90"/>
      <c r="BR38" s="92"/>
      <c r="BS38" s="94">
        <f t="shared" si="0"/>
        <v>0</v>
      </c>
      <c r="BT38" s="95"/>
      <c r="BU38" s="96"/>
      <c r="BV38" s="94">
        <f t="shared" si="1"/>
        <v>0</v>
      </c>
      <c r="BW38" s="95"/>
      <c r="BX38" s="95"/>
      <c r="BY38" s="96"/>
      <c r="BZ38" s="97"/>
      <c r="CA38" s="98"/>
      <c r="CB38" s="98"/>
      <c r="CC38" s="98"/>
      <c r="CD38" s="98"/>
      <c r="CE38" s="98"/>
      <c r="CF38" s="98"/>
      <c r="CG38" s="99"/>
    </row>
    <row r="39" spans="1:85">
      <c r="A39" s="80">
        <v>21</v>
      </c>
      <c r="B39" s="81"/>
      <c r="C39" s="81"/>
      <c r="D39" s="81"/>
      <c r="E39" s="81"/>
      <c r="F39" s="82"/>
      <c r="G39" s="83" t="str">
        <f>IFERROR(INDEX([1]INPUT_DATA_Learners!T:T,MATCH(#REF!,[1]INPUT_DATA_Learners!$A:$A,0)),"")</f>
        <v/>
      </c>
      <c r="H39" s="84"/>
      <c r="I39" s="84"/>
      <c r="J39" s="85"/>
      <c r="K39" s="86" t="s">
        <v>16</v>
      </c>
      <c r="L39" s="87"/>
      <c r="M39" s="88" t="s">
        <v>16</v>
      </c>
      <c r="N39" s="88" t="s">
        <v>16</v>
      </c>
      <c r="O39" s="89" t="s">
        <v>16</v>
      </c>
      <c r="P39" s="90"/>
      <c r="Q39" s="90"/>
      <c r="R39" s="87"/>
      <c r="S39" s="89" t="s">
        <v>16</v>
      </c>
      <c r="T39" s="90"/>
      <c r="U39" s="87"/>
      <c r="V39" s="91" t="s">
        <v>16</v>
      </c>
      <c r="W39" s="86" t="s">
        <v>16</v>
      </c>
      <c r="X39" s="90"/>
      <c r="Y39" s="87"/>
      <c r="Z39" s="88" t="s">
        <v>16</v>
      </c>
      <c r="AA39" s="88" t="s">
        <v>16</v>
      </c>
      <c r="AB39" s="89" t="s">
        <v>16</v>
      </c>
      <c r="AC39" s="90"/>
      <c r="AD39" s="87"/>
      <c r="AE39" s="89" t="s">
        <v>16</v>
      </c>
      <c r="AF39" s="90"/>
      <c r="AG39" s="87"/>
      <c r="AH39" s="91" t="s">
        <v>16</v>
      </c>
      <c r="AI39" s="86" t="s">
        <v>16</v>
      </c>
      <c r="AJ39" s="90"/>
      <c r="AK39" s="87"/>
      <c r="AL39" s="89" t="s">
        <v>16</v>
      </c>
      <c r="AM39" s="87"/>
      <c r="AN39" s="89" t="s">
        <v>16</v>
      </c>
      <c r="AO39" s="87"/>
      <c r="AP39" s="89" t="s">
        <v>16</v>
      </c>
      <c r="AQ39" s="87"/>
      <c r="AR39" s="88" t="s">
        <v>16</v>
      </c>
      <c r="AS39" s="89" t="s">
        <v>16</v>
      </c>
      <c r="AT39" s="92"/>
      <c r="AU39" s="93" t="s">
        <v>16</v>
      </c>
      <c r="AV39" s="88" t="s">
        <v>16</v>
      </c>
      <c r="AW39" s="89" t="s">
        <v>16</v>
      </c>
      <c r="AX39" s="87"/>
      <c r="AY39" s="89" t="s">
        <v>16</v>
      </c>
      <c r="AZ39" s="90"/>
      <c r="BA39" s="87"/>
      <c r="BB39" s="89" t="s">
        <v>16</v>
      </c>
      <c r="BC39" s="87"/>
      <c r="BD39" s="91" t="s">
        <v>16</v>
      </c>
      <c r="BE39" s="86" t="s">
        <v>16</v>
      </c>
      <c r="BF39" s="90"/>
      <c r="BG39" s="90"/>
      <c r="BH39" s="87"/>
      <c r="BI39" s="88" t="s">
        <v>16</v>
      </c>
      <c r="BJ39" s="88" t="s">
        <v>16</v>
      </c>
      <c r="BK39" s="89" t="s">
        <v>16</v>
      </c>
      <c r="BL39" s="87"/>
      <c r="BM39" s="89" t="s">
        <v>16</v>
      </c>
      <c r="BN39" s="87"/>
      <c r="BO39" s="89" t="s">
        <v>16</v>
      </c>
      <c r="BP39" s="90"/>
      <c r="BQ39" s="90"/>
      <c r="BR39" s="92"/>
      <c r="BS39" s="94">
        <f t="shared" si="0"/>
        <v>0</v>
      </c>
      <c r="BT39" s="95"/>
      <c r="BU39" s="96"/>
      <c r="BV39" s="94">
        <f t="shared" si="1"/>
        <v>0</v>
      </c>
      <c r="BW39" s="95"/>
      <c r="BX39" s="95"/>
      <c r="BY39" s="96"/>
      <c r="BZ39" s="97"/>
      <c r="CA39" s="98"/>
      <c r="CB39" s="98"/>
      <c r="CC39" s="98"/>
      <c r="CD39" s="98"/>
      <c r="CE39" s="98"/>
      <c r="CF39" s="98"/>
      <c r="CG39" s="99"/>
    </row>
    <row r="40" spans="1:85">
      <c r="A40" s="80">
        <v>22</v>
      </c>
      <c r="B40" s="81"/>
      <c r="C40" s="81"/>
      <c r="D40" s="81"/>
      <c r="E40" s="81"/>
      <c r="F40" s="82"/>
      <c r="G40" s="83" t="str">
        <f>IFERROR(INDEX([1]INPUT_DATA_Learners!T:T,MATCH(#REF!,[1]INPUT_DATA_Learners!$A:$A,0)),"")</f>
        <v/>
      </c>
      <c r="H40" s="84"/>
      <c r="I40" s="84"/>
      <c r="J40" s="85"/>
      <c r="K40" s="86" t="s">
        <v>16</v>
      </c>
      <c r="L40" s="87"/>
      <c r="M40" s="88" t="s">
        <v>16</v>
      </c>
      <c r="N40" s="88" t="s">
        <v>16</v>
      </c>
      <c r="O40" s="89" t="s">
        <v>16</v>
      </c>
      <c r="P40" s="90"/>
      <c r="Q40" s="90"/>
      <c r="R40" s="87"/>
      <c r="S40" s="89" t="s">
        <v>16</v>
      </c>
      <c r="T40" s="90"/>
      <c r="U40" s="87"/>
      <c r="V40" s="91" t="s">
        <v>16</v>
      </c>
      <c r="W40" s="86" t="s">
        <v>16</v>
      </c>
      <c r="X40" s="90"/>
      <c r="Y40" s="87"/>
      <c r="Z40" s="88" t="s">
        <v>16</v>
      </c>
      <c r="AA40" s="88" t="s">
        <v>16</v>
      </c>
      <c r="AB40" s="89" t="s">
        <v>16</v>
      </c>
      <c r="AC40" s="90"/>
      <c r="AD40" s="87"/>
      <c r="AE40" s="89" t="s">
        <v>16</v>
      </c>
      <c r="AF40" s="90"/>
      <c r="AG40" s="87"/>
      <c r="AH40" s="91" t="s">
        <v>16</v>
      </c>
      <c r="AI40" s="86" t="s">
        <v>16</v>
      </c>
      <c r="AJ40" s="90"/>
      <c r="AK40" s="87"/>
      <c r="AL40" s="89" t="s">
        <v>16</v>
      </c>
      <c r="AM40" s="87"/>
      <c r="AN40" s="89" t="s">
        <v>16</v>
      </c>
      <c r="AO40" s="87"/>
      <c r="AP40" s="89" t="s">
        <v>16</v>
      </c>
      <c r="AQ40" s="87"/>
      <c r="AR40" s="88" t="s">
        <v>16</v>
      </c>
      <c r="AS40" s="89" t="s">
        <v>16</v>
      </c>
      <c r="AT40" s="92"/>
      <c r="AU40" s="93" t="s">
        <v>16</v>
      </c>
      <c r="AV40" s="88" t="s">
        <v>16</v>
      </c>
      <c r="AW40" s="89" t="s">
        <v>16</v>
      </c>
      <c r="AX40" s="87"/>
      <c r="AY40" s="89" t="s">
        <v>16</v>
      </c>
      <c r="AZ40" s="90"/>
      <c r="BA40" s="87"/>
      <c r="BB40" s="89" t="s">
        <v>16</v>
      </c>
      <c r="BC40" s="87"/>
      <c r="BD40" s="91" t="s">
        <v>16</v>
      </c>
      <c r="BE40" s="86" t="s">
        <v>16</v>
      </c>
      <c r="BF40" s="90"/>
      <c r="BG40" s="90"/>
      <c r="BH40" s="87"/>
      <c r="BI40" s="88" t="s">
        <v>16</v>
      </c>
      <c r="BJ40" s="88" t="s">
        <v>16</v>
      </c>
      <c r="BK40" s="89" t="s">
        <v>16</v>
      </c>
      <c r="BL40" s="87"/>
      <c r="BM40" s="89" t="s">
        <v>16</v>
      </c>
      <c r="BN40" s="87"/>
      <c r="BO40" s="89" t="s">
        <v>16</v>
      </c>
      <c r="BP40" s="90"/>
      <c r="BQ40" s="90"/>
      <c r="BR40" s="92"/>
      <c r="BS40" s="94">
        <f t="shared" si="0"/>
        <v>0</v>
      </c>
      <c r="BT40" s="95"/>
      <c r="BU40" s="96"/>
      <c r="BV40" s="94">
        <f t="shared" si="1"/>
        <v>0</v>
      </c>
      <c r="BW40" s="95"/>
      <c r="BX40" s="95"/>
      <c r="BY40" s="96"/>
      <c r="BZ40" s="97"/>
      <c r="CA40" s="98"/>
      <c r="CB40" s="98"/>
      <c r="CC40" s="98"/>
      <c r="CD40" s="98"/>
      <c r="CE40" s="98"/>
      <c r="CF40" s="98"/>
      <c r="CG40" s="99"/>
    </row>
    <row r="41" spans="1:85">
      <c r="A41" s="80">
        <v>23</v>
      </c>
      <c r="B41" s="81"/>
      <c r="C41" s="81"/>
      <c r="D41" s="81"/>
      <c r="E41" s="81"/>
      <c r="F41" s="82"/>
      <c r="G41" s="83" t="str">
        <f>IFERROR(INDEX([1]INPUT_DATA_Learners!T:T,MATCH(#REF!,[1]INPUT_DATA_Learners!$A:$A,0)),"")</f>
        <v/>
      </c>
      <c r="H41" s="84"/>
      <c r="I41" s="84"/>
      <c r="J41" s="85"/>
      <c r="K41" s="86" t="s">
        <v>16</v>
      </c>
      <c r="L41" s="87"/>
      <c r="M41" s="88" t="s">
        <v>16</v>
      </c>
      <c r="N41" s="88" t="s">
        <v>16</v>
      </c>
      <c r="O41" s="89" t="s">
        <v>16</v>
      </c>
      <c r="P41" s="90"/>
      <c r="Q41" s="90"/>
      <c r="R41" s="87"/>
      <c r="S41" s="89" t="s">
        <v>16</v>
      </c>
      <c r="T41" s="90"/>
      <c r="U41" s="87"/>
      <c r="V41" s="91" t="s">
        <v>16</v>
      </c>
      <c r="W41" s="86" t="s">
        <v>16</v>
      </c>
      <c r="X41" s="90"/>
      <c r="Y41" s="87"/>
      <c r="Z41" s="88" t="s">
        <v>16</v>
      </c>
      <c r="AA41" s="88" t="s">
        <v>16</v>
      </c>
      <c r="AB41" s="89" t="s">
        <v>16</v>
      </c>
      <c r="AC41" s="90"/>
      <c r="AD41" s="87"/>
      <c r="AE41" s="89" t="s">
        <v>16</v>
      </c>
      <c r="AF41" s="90"/>
      <c r="AG41" s="87"/>
      <c r="AH41" s="91" t="s">
        <v>16</v>
      </c>
      <c r="AI41" s="86" t="s">
        <v>16</v>
      </c>
      <c r="AJ41" s="90"/>
      <c r="AK41" s="87"/>
      <c r="AL41" s="89" t="s">
        <v>16</v>
      </c>
      <c r="AM41" s="87"/>
      <c r="AN41" s="89" t="s">
        <v>16</v>
      </c>
      <c r="AO41" s="87"/>
      <c r="AP41" s="89" t="s">
        <v>16</v>
      </c>
      <c r="AQ41" s="87"/>
      <c r="AR41" s="88" t="s">
        <v>16</v>
      </c>
      <c r="AS41" s="89" t="s">
        <v>16</v>
      </c>
      <c r="AT41" s="92"/>
      <c r="AU41" s="93" t="s">
        <v>16</v>
      </c>
      <c r="AV41" s="88" t="s">
        <v>16</v>
      </c>
      <c r="AW41" s="89" t="s">
        <v>16</v>
      </c>
      <c r="AX41" s="87"/>
      <c r="AY41" s="89" t="s">
        <v>16</v>
      </c>
      <c r="AZ41" s="90"/>
      <c r="BA41" s="87"/>
      <c r="BB41" s="89" t="s">
        <v>16</v>
      </c>
      <c r="BC41" s="87"/>
      <c r="BD41" s="91" t="s">
        <v>16</v>
      </c>
      <c r="BE41" s="86" t="s">
        <v>16</v>
      </c>
      <c r="BF41" s="90"/>
      <c r="BG41" s="90"/>
      <c r="BH41" s="87"/>
      <c r="BI41" s="88" t="s">
        <v>16</v>
      </c>
      <c r="BJ41" s="88" t="s">
        <v>16</v>
      </c>
      <c r="BK41" s="89" t="s">
        <v>16</v>
      </c>
      <c r="BL41" s="87"/>
      <c r="BM41" s="89" t="s">
        <v>16</v>
      </c>
      <c r="BN41" s="87"/>
      <c r="BO41" s="89" t="s">
        <v>16</v>
      </c>
      <c r="BP41" s="90"/>
      <c r="BQ41" s="90"/>
      <c r="BR41" s="92"/>
      <c r="BS41" s="94">
        <f t="shared" si="0"/>
        <v>0</v>
      </c>
      <c r="BT41" s="95"/>
      <c r="BU41" s="96"/>
      <c r="BV41" s="94">
        <f t="shared" si="1"/>
        <v>0</v>
      </c>
      <c r="BW41" s="95"/>
      <c r="BX41" s="95"/>
      <c r="BY41" s="96"/>
      <c r="BZ41" s="97"/>
      <c r="CA41" s="98"/>
      <c r="CB41" s="98"/>
      <c r="CC41" s="98"/>
      <c r="CD41" s="98"/>
      <c r="CE41" s="98"/>
      <c r="CF41" s="98"/>
      <c r="CG41" s="99"/>
    </row>
    <row r="42" spans="1:85">
      <c r="A42" s="80">
        <v>24</v>
      </c>
      <c r="B42" s="81"/>
      <c r="C42" s="81"/>
      <c r="D42" s="81"/>
      <c r="E42" s="81"/>
      <c r="F42" s="82"/>
      <c r="G42" s="83" t="str">
        <f>IFERROR(INDEX([1]INPUT_DATA_Learners!T:T,MATCH(#REF!,[1]INPUT_DATA_Learners!$A:$A,0)),"")</f>
        <v/>
      </c>
      <c r="H42" s="84"/>
      <c r="I42" s="84"/>
      <c r="J42" s="85"/>
      <c r="K42" s="86" t="s">
        <v>16</v>
      </c>
      <c r="L42" s="87"/>
      <c r="M42" s="88" t="s">
        <v>16</v>
      </c>
      <c r="N42" s="88" t="s">
        <v>16</v>
      </c>
      <c r="O42" s="89" t="s">
        <v>16</v>
      </c>
      <c r="P42" s="90"/>
      <c r="Q42" s="90"/>
      <c r="R42" s="87"/>
      <c r="S42" s="89" t="s">
        <v>16</v>
      </c>
      <c r="T42" s="90"/>
      <c r="U42" s="87"/>
      <c r="V42" s="91" t="s">
        <v>16</v>
      </c>
      <c r="W42" s="86" t="s">
        <v>16</v>
      </c>
      <c r="X42" s="90"/>
      <c r="Y42" s="87"/>
      <c r="Z42" s="88" t="s">
        <v>16</v>
      </c>
      <c r="AA42" s="88" t="s">
        <v>16</v>
      </c>
      <c r="AB42" s="89" t="s">
        <v>16</v>
      </c>
      <c r="AC42" s="90"/>
      <c r="AD42" s="87"/>
      <c r="AE42" s="89" t="s">
        <v>16</v>
      </c>
      <c r="AF42" s="90"/>
      <c r="AG42" s="87"/>
      <c r="AH42" s="91" t="s">
        <v>16</v>
      </c>
      <c r="AI42" s="86" t="s">
        <v>16</v>
      </c>
      <c r="AJ42" s="90"/>
      <c r="AK42" s="87"/>
      <c r="AL42" s="89" t="s">
        <v>16</v>
      </c>
      <c r="AM42" s="87"/>
      <c r="AN42" s="89" t="s">
        <v>16</v>
      </c>
      <c r="AO42" s="87"/>
      <c r="AP42" s="89" t="s">
        <v>16</v>
      </c>
      <c r="AQ42" s="87"/>
      <c r="AR42" s="88" t="s">
        <v>16</v>
      </c>
      <c r="AS42" s="89" t="s">
        <v>16</v>
      </c>
      <c r="AT42" s="92"/>
      <c r="AU42" s="93" t="s">
        <v>16</v>
      </c>
      <c r="AV42" s="88" t="s">
        <v>16</v>
      </c>
      <c r="AW42" s="89" t="s">
        <v>16</v>
      </c>
      <c r="AX42" s="87"/>
      <c r="AY42" s="89" t="s">
        <v>16</v>
      </c>
      <c r="AZ42" s="90"/>
      <c r="BA42" s="87"/>
      <c r="BB42" s="89" t="s">
        <v>16</v>
      </c>
      <c r="BC42" s="87"/>
      <c r="BD42" s="91" t="s">
        <v>16</v>
      </c>
      <c r="BE42" s="86" t="s">
        <v>16</v>
      </c>
      <c r="BF42" s="90"/>
      <c r="BG42" s="90"/>
      <c r="BH42" s="87"/>
      <c r="BI42" s="88" t="s">
        <v>16</v>
      </c>
      <c r="BJ42" s="88" t="s">
        <v>16</v>
      </c>
      <c r="BK42" s="89" t="s">
        <v>16</v>
      </c>
      <c r="BL42" s="87"/>
      <c r="BM42" s="89" t="s">
        <v>16</v>
      </c>
      <c r="BN42" s="87"/>
      <c r="BO42" s="89" t="s">
        <v>16</v>
      </c>
      <c r="BP42" s="90"/>
      <c r="BQ42" s="90"/>
      <c r="BR42" s="92"/>
      <c r="BS42" s="94">
        <f t="shared" si="0"/>
        <v>0</v>
      </c>
      <c r="BT42" s="95"/>
      <c r="BU42" s="96"/>
      <c r="BV42" s="94">
        <f t="shared" si="1"/>
        <v>0</v>
      </c>
      <c r="BW42" s="95"/>
      <c r="BX42" s="95"/>
      <c r="BY42" s="96"/>
      <c r="BZ42" s="97"/>
      <c r="CA42" s="98"/>
      <c r="CB42" s="98"/>
      <c r="CC42" s="98"/>
      <c r="CD42" s="98"/>
      <c r="CE42" s="98"/>
      <c r="CF42" s="98"/>
      <c r="CG42" s="99"/>
    </row>
    <row r="43" spans="1:85">
      <c r="A43" s="80">
        <v>25</v>
      </c>
      <c r="B43" s="81"/>
      <c r="C43" s="81"/>
      <c r="D43" s="81"/>
      <c r="E43" s="81"/>
      <c r="F43" s="82"/>
      <c r="G43" s="83" t="str">
        <f>IFERROR(INDEX([1]INPUT_DATA_Learners!T:T,MATCH(#REF!,[1]INPUT_DATA_Learners!$A:$A,0)),"")</f>
        <v/>
      </c>
      <c r="H43" s="84"/>
      <c r="I43" s="84"/>
      <c r="J43" s="85"/>
      <c r="K43" s="86" t="s">
        <v>16</v>
      </c>
      <c r="L43" s="87"/>
      <c r="M43" s="88" t="s">
        <v>16</v>
      </c>
      <c r="N43" s="88" t="s">
        <v>16</v>
      </c>
      <c r="O43" s="89" t="s">
        <v>16</v>
      </c>
      <c r="P43" s="90"/>
      <c r="Q43" s="90"/>
      <c r="R43" s="87"/>
      <c r="S43" s="89" t="s">
        <v>16</v>
      </c>
      <c r="T43" s="90"/>
      <c r="U43" s="87"/>
      <c r="V43" s="91" t="s">
        <v>16</v>
      </c>
      <c r="W43" s="86" t="s">
        <v>16</v>
      </c>
      <c r="X43" s="90"/>
      <c r="Y43" s="87"/>
      <c r="Z43" s="88" t="s">
        <v>16</v>
      </c>
      <c r="AA43" s="88" t="s">
        <v>16</v>
      </c>
      <c r="AB43" s="89" t="s">
        <v>16</v>
      </c>
      <c r="AC43" s="90"/>
      <c r="AD43" s="87"/>
      <c r="AE43" s="89" t="s">
        <v>16</v>
      </c>
      <c r="AF43" s="90"/>
      <c r="AG43" s="87"/>
      <c r="AH43" s="91" t="s">
        <v>16</v>
      </c>
      <c r="AI43" s="86" t="s">
        <v>16</v>
      </c>
      <c r="AJ43" s="90"/>
      <c r="AK43" s="87"/>
      <c r="AL43" s="89" t="s">
        <v>16</v>
      </c>
      <c r="AM43" s="87"/>
      <c r="AN43" s="89" t="s">
        <v>16</v>
      </c>
      <c r="AO43" s="87"/>
      <c r="AP43" s="89" t="s">
        <v>16</v>
      </c>
      <c r="AQ43" s="87"/>
      <c r="AR43" s="88" t="s">
        <v>16</v>
      </c>
      <c r="AS43" s="89" t="s">
        <v>16</v>
      </c>
      <c r="AT43" s="92"/>
      <c r="AU43" s="93" t="s">
        <v>16</v>
      </c>
      <c r="AV43" s="88" t="s">
        <v>16</v>
      </c>
      <c r="AW43" s="89" t="s">
        <v>16</v>
      </c>
      <c r="AX43" s="87"/>
      <c r="AY43" s="89" t="s">
        <v>16</v>
      </c>
      <c r="AZ43" s="90"/>
      <c r="BA43" s="87"/>
      <c r="BB43" s="89" t="s">
        <v>16</v>
      </c>
      <c r="BC43" s="87"/>
      <c r="BD43" s="91" t="s">
        <v>16</v>
      </c>
      <c r="BE43" s="86" t="s">
        <v>16</v>
      </c>
      <c r="BF43" s="90"/>
      <c r="BG43" s="90"/>
      <c r="BH43" s="87"/>
      <c r="BI43" s="88" t="s">
        <v>16</v>
      </c>
      <c r="BJ43" s="88" t="s">
        <v>16</v>
      </c>
      <c r="BK43" s="89" t="s">
        <v>16</v>
      </c>
      <c r="BL43" s="87"/>
      <c r="BM43" s="89" t="s">
        <v>16</v>
      </c>
      <c r="BN43" s="87"/>
      <c r="BO43" s="89" t="s">
        <v>16</v>
      </c>
      <c r="BP43" s="90"/>
      <c r="BQ43" s="90"/>
      <c r="BR43" s="92"/>
      <c r="BS43" s="94">
        <f t="shared" si="0"/>
        <v>0</v>
      </c>
      <c r="BT43" s="95"/>
      <c r="BU43" s="96"/>
      <c r="BV43" s="94">
        <f t="shared" si="1"/>
        <v>0</v>
      </c>
      <c r="BW43" s="95"/>
      <c r="BX43" s="95"/>
      <c r="BY43" s="96"/>
      <c r="BZ43" s="97"/>
      <c r="CA43" s="98"/>
      <c r="CB43" s="98"/>
      <c r="CC43" s="98"/>
      <c r="CD43" s="98"/>
      <c r="CE43" s="98"/>
      <c r="CF43" s="98"/>
      <c r="CG43" s="99"/>
    </row>
    <row r="44" spans="1:85">
      <c r="A44" s="80">
        <v>26</v>
      </c>
      <c r="B44" s="81"/>
      <c r="C44" s="81"/>
      <c r="D44" s="81"/>
      <c r="E44" s="81"/>
      <c r="F44" s="82"/>
      <c r="G44" s="83" t="str">
        <f>IFERROR(INDEX([1]INPUT_DATA_Learners!T:T,MATCH(#REF!,[1]INPUT_DATA_Learners!$A:$A,0)),"")</f>
        <v/>
      </c>
      <c r="H44" s="84"/>
      <c r="I44" s="84"/>
      <c r="J44" s="85"/>
      <c r="K44" s="86" t="s">
        <v>16</v>
      </c>
      <c r="L44" s="87"/>
      <c r="M44" s="88" t="s">
        <v>16</v>
      </c>
      <c r="N44" s="88" t="s">
        <v>16</v>
      </c>
      <c r="O44" s="89" t="s">
        <v>16</v>
      </c>
      <c r="P44" s="90"/>
      <c r="Q44" s="90"/>
      <c r="R44" s="87"/>
      <c r="S44" s="89" t="s">
        <v>16</v>
      </c>
      <c r="T44" s="90"/>
      <c r="U44" s="87"/>
      <c r="V44" s="91" t="s">
        <v>16</v>
      </c>
      <c r="W44" s="86" t="s">
        <v>16</v>
      </c>
      <c r="X44" s="90"/>
      <c r="Y44" s="87"/>
      <c r="Z44" s="88" t="s">
        <v>16</v>
      </c>
      <c r="AA44" s="88" t="s">
        <v>16</v>
      </c>
      <c r="AB44" s="89" t="s">
        <v>16</v>
      </c>
      <c r="AC44" s="90"/>
      <c r="AD44" s="87"/>
      <c r="AE44" s="89" t="s">
        <v>16</v>
      </c>
      <c r="AF44" s="90"/>
      <c r="AG44" s="87"/>
      <c r="AH44" s="91" t="s">
        <v>16</v>
      </c>
      <c r="AI44" s="86" t="s">
        <v>16</v>
      </c>
      <c r="AJ44" s="90"/>
      <c r="AK44" s="87"/>
      <c r="AL44" s="89" t="s">
        <v>16</v>
      </c>
      <c r="AM44" s="87"/>
      <c r="AN44" s="89" t="s">
        <v>16</v>
      </c>
      <c r="AO44" s="87"/>
      <c r="AP44" s="89" t="s">
        <v>16</v>
      </c>
      <c r="AQ44" s="87"/>
      <c r="AR44" s="88" t="s">
        <v>16</v>
      </c>
      <c r="AS44" s="89" t="s">
        <v>16</v>
      </c>
      <c r="AT44" s="92"/>
      <c r="AU44" s="93" t="s">
        <v>16</v>
      </c>
      <c r="AV44" s="88" t="s">
        <v>16</v>
      </c>
      <c r="AW44" s="89" t="s">
        <v>16</v>
      </c>
      <c r="AX44" s="87"/>
      <c r="AY44" s="89" t="s">
        <v>16</v>
      </c>
      <c r="AZ44" s="90"/>
      <c r="BA44" s="87"/>
      <c r="BB44" s="89" t="s">
        <v>16</v>
      </c>
      <c r="BC44" s="87"/>
      <c r="BD44" s="91" t="s">
        <v>16</v>
      </c>
      <c r="BE44" s="86" t="s">
        <v>16</v>
      </c>
      <c r="BF44" s="90"/>
      <c r="BG44" s="90"/>
      <c r="BH44" s="87"/>
      <c r="BI44" s="88" t="s">
        <v>16</v>
      </c>
      <c r="BJ44" s="88" t="s">
        <v>16</v>
      </c>
      <c r="BK44" s="89" t="s">
        <v>16</v>
      </c>
      <c r="BL44" s="87"/>
      <c r="BM44" s="89" t="s">
        <v>16</v>
      </c>
      <c r="BN44" s="87"/>
      <c r="BO44" s="89" t="s">
        <v>16</v>
      </c>
      <c r="BP44" s="90"/>
      <c r="BQ44" s="90"/>
      <c r="BR44" s="92"/>
      <c r="BS44" s="94">
        <f t="shared" si="0"/>
        <v>0</v>
      </c>
      <c r="BT44" s="95"/>
      <c r="BU44" s="96"/>
      <c r="BV44" s="94">
        <f t="shared" si="1"/>
        <v>0</v>
      </c>
      <c r="BW44" s="95"/>
      <c r="BX44" s="95"/>
      <c r="BY44" s="96"/>
      <c r="BZ44" s="97"/>
      <c r="CA44" s="98"/>
      <c r="CB44" s="98"/>
      <c r="CC44" s="98"/>
      <c r="CD44" s="98"/>
      <c r="CE44" s="98"/>
      <c r="CF44" s="98"/>
      <c r="CG44" s="99"/>
    </row>
    <row r="45" spans="1:85">
      <c r="A45" s="80">
        <v>27</v>
      </c>
      <c r="B45" s="81"/>
      <c r="C45" s="81"/>
      <c r="D45" s="81"/>
      <c r="E45" s="81"/>
      <c r="F45" s="82"/>
      <c r="G45" s="83" t="str">
        <f>IFERROR(INDEX([1]INPUT_DATA_Learners!T:T,MATCH(#REF!,[1]INPUT_DATA_Learners!$A:$A,0)),"")</f>
        <v/>
      </c>
      <c r="H45" s="84"/>
      <c r="I45" s="84"/>
      <c r="J45" s="85"/>
      <c r="K45" s="86" t="s">
        <v>16</v>
      </c>
      <c r="L45" s="87"/>
      <c r="M45" s="88" t="s">
        <v>16</v>
      </c>
      <c r="N45" s="88" t="s">
        <v>16</v>
      </c>
      <c r="O45" s="89" t="s">
        <v>16</v>
      </c>
      <c r="P45" s="90"/>
      <c r="Q45" s="90"/>
      <c r="R45" s="87"/>
      <c r="S45" s="89" t="s">
        <v>16</v>
      </c>
      <c r="T45" s="90"/>
      <c r="U45" s="87"/>
      <c r="V45" s="91" t="s">
        <v>16</v>
      </c>
      <c r="W45" s="86" t="s">
        <v>16</v>
      </c>
      <c r="X45" s="90"/>
      <c r="Y45" s="87"/>
      <c r="Z45" s="88" t="s">
        <v>16</v>
      </c>
      <c r="AA45" s="88" t="s">
        <v>16</v>
      </c>
      <c r="AB45" s="89" t="s">
        <v>16</v>
      </c>
      <c r="AC45" s="90"/>
      <c r="AD45" s="87"/>
      <c r="AE45" s="89" t="s">
        <v>16</v>
      </c>
      <c r="AF45" s="90"/>
      <c r="AG45" s="87"/>
      <c r="AH45" s="91" t="s">
        <v>16</v>
      </c>
      <c r="AI45" s="86" t="s">
        <v>16</v>
      </c>
      <c r="AJ45" s="90"/>
      <c r="AK45" s="87"/>
      <c r="AL45" s="89" t="s">
        <v>16</v>
      </c>
      <c r="AM45" s="87"/>
      <c r="AN45" s="89" t="s">
        <v>16</v>
      </c>
      <c r="AO45" s="87"/>
      <c r="AP45" s="89" t="s">
        <v>16</v>
      </c>
      <c r="AQ45" s="87"/>
      <c r="AR45" s="88" t="s">
        <v>16</v>
      </c>
      <c r="AS45" s="89" t="s">
        <v>16</v>
      </c>
      <c r="AT45" s="92"/>
      <c r="AU45" s="93" t="s">
        <v>16</v>
      </c>
      <c r="AV45" s="88" t="s">
        <v>16</v>
      </c>
      <c r="AW45" s="89" t="s">
        <v>16</v>
      </c>
      <c r="AX45" s="87"/>
      <c r="AY45" s="89" t="s">
        <v>16</v>
      </c>
      <c r="AZ45" s="90"/>
      <c r="BA45" s="87"/>
      <c r="BB45" s="89" t="s">
        <v>16</v>
      </c>
      <c r="BC45" s="87"/>
      <c r="BD45" s="91" t="s">
        <v>16</v>
      </c>
      <c r="BE45" s="86" t="s">
        <v>16</v>
      </c>
      <c r="BF45" s="90"/>
      <c r="BG45" s="90"/>
      <c r="BH45" s="87"/>
      <c r="BI45" s="88" t="s">
        <v>16</v>
      </c>
      <c r="BJ45" s="88" t="s">
        <v>16</v>
      </c>
      <c r="BK45" s="89" t="s">
        <v>16</v>
      </c>
      <c r="BL45" s="87"/>
      <c r="BM45" s="89" t="s">
        <v>16</v>
      </c>
      <c r="BN45" s="87"/>
      <c r="BO45" s="89" t="s">
        <v>16</v>
      </c>
      <c r="BP45" s="90"/>
      <c r="BQ45" s="90"/>
      <c r="BR45" s="92"/>
      <c r="BS45" s="94">
        <f t="shared" si="0"/>
        <v>0</v>
      </c>
      <c r="BT45" s="95"/>
      <c r="BU45" s="96"/>
      <c r="BV45" s="94">
        <f t="shared" si="1"/>
        <v>0</v>
      </c>
      <c r="BW45" s="95"/>
      <c r="BX45" s="95"/>
      <c r="BY45" s="96"/>
      <c r="BZ45" s="97"/>
      <c r="CA45" s="98"/>
      <c r="CB45" s="98"/>
      <c r="CC45" s="98"/>
      <c r="CD45" s="98"/>
      <c r="CE45" s="98"/>
      <c r="CF45" s="98"/>
      <c r="CG45" s="99"/>
    </row>
    <row r="46" spans="1:85">
      <c r="A46" s="80">
        <v>28</v>
      </c>
      <c r="B46" s="81"/>
      <c r="C46" s="81"/>
      <c r="D46" s="81"/>
      <c r="E46" s="81"/>
      <c r="F46" s="82"/>
      <c r="G46" s="83" t="str">
        <f>IFERROR(INDEX([1]INPUT_DATA_Learners!T:T,MATCH(#REF!,[1]INPUT_DATA_Learners!$A:$A,0)),"")</f>
        <v/>
      </c>
      <c r="H46" s="84"/>
      <c r="I46" s="84"/>
      <c r="J46" s="85"/>
      <c r="K46" s="86" t="s">
        <v>16</v>
      </c>
      <c r="L46" s="87"/>
      <c r="M46" s="88" t="s">
        <v>16</v>
      </c>
      <c r="N46" s="88" t="s">
        <v>16</v>
      </c>
      <c r="O46" s="89" t="s">
        <v>16</v>
      </c>
      <c r="P46" s="90"/>
      <c r="Q46" s="90"/>
      <c r="R46" s="87"/>
      <c r="S46" s="89" t="s">
        <v>16</v>
      </c>
      <c r="T46" s="90"/>
      <c r="U46" s="87"/>
      <c r="V46" s="91" t="s">
        <v>16</v>
      </c>
      <c r="W46" s="86" t="s">
        <v>16</v>
      </c>
      <c r="X46" s="90"/>
      <c r="Y46" s="87"/>
      <c r="Z46" s="88" t="s">
        <v>16</v>
      </c>
      <c r="AA46" s="88" t="s">
        <v>16</v>
      </c>
      <c r="AB46" s="89" t="s">
        <v>16</v>
      </c>
      <c r="AC46" s="90"/>
      <c r="AD46" s="87"/>
      <c r="AE46" s="89" t="s">
        <v>16</v>
      </c>
      <c r="AF46" s="90"/>
      <c r="AG46" s="87"/>
      <c r="AH46" s="91" t="s">
        <v>16</v>
      </c>
      <c r="AI46" s="86" t="s">
        <v>16</v>
      </c>
      <c r="AJ46" s="90"/>
      <c r="AK46" s="87"/>
      <c r="AL46" s="89" t="s">
        <v>16</v>
      </c>
      <c r="AM46" s="87"/>
      <c r="AN46" s="89" t="s">
        <v>16</v>
      </c>
      <c r="AO46" s="87"/>
      <c r="AP46" s="89" t="s">
        <v>16</v>
      </c>
      <c r="AQ46" s="87"/>
      <c r="AR46" s="88" t="s">
        <v>16</v>
      </c>
      <c r="AS46" s="89" t="s">
        <v>16</v>
      </c>
      <c r="AT46" s="92"/>
      <c r="AU46" s="93" t="s">
        <v>16</v>
      </c>
      <c r="AV46" s="88" t="s">
        <v>16</v>
      </c>
      <c r="AW46" s="89" t="s">
        <v>16</v>
      </c>
      <c r="AX46" s="87"/>
      <c r="AY46" s="89" t="s">
        <v>16</v>
      </c>
      <c r="AZ46" s="90"/>
      <c r="BA46" s="87"/>
      <c r="BB46" s="89" t="s">
        <v>16</v>
      </c>
      <c r="BC46" s="87"/>
      <c r="BD46" s="91" t="s">
        <v>16</v>
      </c>
      <c r="BE46" s="86" t="s">
        <v>16</v>
      </c>
      <c r="BF46" s="90"/>
      <c r="BG46" s="90"/>
      <c r="BH46" s="87"/>
      <c r="BI46" s="88" t="s">
        <v>16</v>
      </c>
      <c r="BJ46" s="88" t="s">
        <v>16</v>
      </c>
      <c r="BK46" s="89" t="s">
        <v>16</v>
      </c>
      <c r="BL46" s="87"/>
      <c r="BM46" s="89" t="s">
        <v>16</v>
      </c>
      <c r="BN46" s="87"/>
      <c r="BO46" s="89" t="s">
        <v>16</v>
      </c>
      <c r="BP46" s="90"/>
      <c r="BQ46" s="90"/>
      <c r="BR46" s="92"/>
      <c r="BS46" s="94">
        <f t="shared" si="0"/>
        <v>0</v>
      </c>
      <c r="BT46" s="95"/>
      <c r="BU46" s="96"/>
      <c r="BV46" s="94">
        <f t="shared" si="1"/>
        <v>0</v>
      </c>
      <c r="BW46" s="95"/>
      <c r="BX46" s="95"/>
      <c r="BY46" s="96"/>
      <c r="BZ46" s="97"/>
      <c r="CA46" s="98"/>
      <c r="CB46" s="98"/>
      <c r="CC46" s="98"/>
      <c r="CD46" s="98"/>
      <c r="CE46" s="98"/>
      <c r="CF46" s="98"/>
      <c r="CG46" s="99"/>
    </row>
    <row r="47" spans="1:85">
      <c r="A47" s="80">
        <v>29</v>
      </c>
      <c r="B47" s="81"/>
      <c r="C47" s="81"/>
      <c r="D47" s="81"/>
      <c r="E47" s="81"/>
      <c r="F47" s="82"/>
      <c r="G47" s="83" t="str">
        <f>IFERROR(INDEX([1]INPUT_DATA_Learners!T:T,MATCH(#REF!,[1]INPUT_DATA_Learners!$A:$A,0)),"")</f>
        <v/>
      </c>
      <c r="H47" s="84"/>
      <c r="I47" s="84"/>
      <c r="J47" s="85"/>
      <c r="K47" s="86" t="s">
        <v>16</v>
      </c>
      <c r="L47" s="87"/>
      <c r="M47" s="88" t="s">
        <v>16</v>
      </c>
      <c r="N47" s="88" t="s">
        <v>16</v>
      </c>
      <c r="O47" s="89" t="s">
        <v>16</v>
      </c>
      <c r="P47" s="90"/>
      <c r="Q47" s="90"/>
      <c r="R47" s="87"/>
      <c r="S47" s="89" t="s">
        <v>16</v>
      </c>
      <c r="T47" s="90"/>
      <c r="U47" s="87"/>
      <c r="V47" s="91" t="s">
        <v>16</v>
      </c>
      <c r="W47" s="86" t="s">
        <v>16</v>
      </c>
      <c r="X47" s="90"/>
      <c r="Y47" s="87"/>
      <c r="Z47" s="88" t="s">
        <v>16</v>
      </c>
      <c r="AA47" s="88" t="s">
        <v>16</v>
      </c>
      <c r="AB47" s="89" t="s">
        <v>16</v>
      </c>
      <c r="AC47" s="90"/>
      <c r="AD47" s="87"/>
      <c r="AE47" s="89" t="s">
        <v>16</v>
      </c>
      <c r="AF47" s="90"/>
      <c r="AG47" s="87"/>
      <c r="AH47" s="91" t="s">
        <v>16</v>
      </c>
      <c r="AI47" s="86" t="s">
        <v>16</v>
      </c>
      <c r="AJ47" s="90"/>
      <c r="AK47" s="87"/>
      <c r="AL47" s="89" t="s">
        <v>16</v>
      </c>
      <c r="AM47" s="87"/>
      <c r="AN47" s="89" t="s">
        <v>16</v>
      </c>
      <c r="AO47" s="87"/>
      <c r="AP47" s="89" t="s">
        <v>16</v>
      </c>
      <c r="AQ47" s="87"/>
      <c r="AR47" s="88" t="s">
        <v>16</v>
      </c>
      <c r="AS47" s="89" t="s">
        <v>16</v>
      </c>
      <c r="AT47" s="92"/>
      <c r="AU47" s="93" t="s">
        <v>16</v>
      </c>
      <c r="AV47" s="88" t="s">
        <v>16</v>
      </c>
      <c r="AW47" s="89" t="s">
        <v>16</v>
      </c>
      <c r="AX47" s="87"/>
      <c r="AY47" s="89" t="s">
        <v>16</v>
      </c>
      <c r="AZ47" s="90"/>
      <c r="BA47" s="87"/>
      <c r="BB47" s="89" t="s">
        <v>16</v>
      </c>
      <c r="BC47" s="87"/>
      <c r="BD47" s="91" t="s">
        <v>16</v>
      </c>
      <c r="BE47" s="86" t="s">
        <v>16</v>
      </c>
      <c r="BF47" s="90"/>
      <c r="BG47" s="90"/>
      <c r="BH47" s="87"/>
      <c r="BI47" s="88" t="s">
        <v>16</v>
      </c>
      <c r="BJ47" s="88" t="s">
        <v>16</v>
      </c>
      <c r="BK47" s="89" t="s">
        <v>16</v>
      </c>
      <c r="BL47" s="87"/>
      <c r="BM47" s="89" t="s">
        <v>16</v>
      </c>
      <c r="BN47" s="87"/>
      <c r="BO47" s="89" t="s">
        <v>16</v>
      </c>
      <c r="BP47" s="90"/>
      <c r="BQ47" s="90"/>
      <c r="BR47" s="92"/>
      <c r="BS47" s="94">
        <f t="shared" si="0"/>
        <v>0</v>
      </c>
      <c r="BT47" s="95"/>
      <c r="BU47" s="96"/>
      <c r="BV47" s="94">
        <f t="shared" si="1"/>
        <v>0</v>
      </c>
      <c r="BW47" s="95"/>
      <c r="BX47" s="95"/>
      <c r="BY47" s="96"/>
      <c r="BZ47" s="97"/>
      <c r="CA47" s="98"/>
      <c r="CB47" s="98"/>
      <c r="CC47" s="98"/>
      <c r="CD47" s="98"/>
      <c r="CE47" s="98"/>
      <c r="CF47" s="98"/>
      <c r="CG47" s="99"/>
    </row>
    <row r="48" spans="1:85">
      <c r="A48" s="80">
        <v>30</v>
      </c>
      <c r="B48" s="81"/>
      <c r="C48" s="81"/>
      <c r="D48" s="81"/>
      <c r="E48" s="81"/>
      <c r="F48" s="82"/>
      <c r="G48" s="83" t="str">
        <f>IFERROR(INDEX([1]INPUT_DATA_Learners!T:T,MATCH(#REF!,[1]INPUT_DATA_Learners!$A:$A,0)),"")</f>
        <v/>
      </c>
      <c r="H48" s="84"/>
      <c r="I48" s="84"/>
      <c r="J48" s="85"/>
      <c r="K48" s="86" t="s">
        <v>16</v>
      </c>
      <c r="L48" s="87"/>
      <c r="M48" s="88" t="s">
        <v>16</v>
      </c>
      <c r="N48" s="88" t="s">
        <v>16</v>
      </c>
      <c r="O48" s="89" t="s">
        <v>16</v>
      </c>
      <c r="P48" s="90"/>
      <c r="Q48" s="90"/>
      <c r="R48" s="87"/>
      <c r="S48" s="89" t="s">
        <v>16</v>
      </c>
      <c r="T48" s="90"/>
      <c r="U48" s="87"/>
      <c r="V48" s="91" t="s">
        <v>16</v>
      </c>
      <c r="W48" s="86" t="s">
        <v>16</v>
      </c>
      <c r="X48" s="90"/>
      <c r="Y48" s="87"/>
      <c r="Z48" s="88" t="s">
        <v>16</v>
      </c>
      <c r="AA48" s="88" t="s">
        <v>16</v>
      </c>
      <c r="AB48" s="89" t="s">
        <v>16</v>
      </c>
      <c r="AC48" s="90"/>
      <c r="AD48" s="87"/>
      <c r="AE48" s="89" t="s">
        <v>16</v>
      </c>
      <c r="AF48" s="90"/>
      <c r="AG48" s="87"/>
      <c r="AH48" s="91" t="s">
        <v>16</v>
      </c>
      <c r="AI48" s="86" t="s">
        <v>16</v>
      </c>
      <c r="AJ48" s="90"/>
      <c r="AK48" s="87"/>
      <c r="AL48" s="89" t="s">
        <v>16</v>
      </c>
      <c r="AM48" s="87"/>
      <c r="AN48" s="89" t="s">
        <v>16</v>
      </c>
      <c r="AO48" s="87"/>
      <c r="AP48" s="89" t="s">
        <v>16</v>
      </c>
      <c r="AQ48" s="87"/>
      <c r="AR48" s="88" t="s">
        <v>16</v>
      </c>
      <c r="AS48" s="89" t="s">
        <v>16</v>
      </c>
      <c r="AT48" s="92"/>
      <c r="AU48" s="93" t="s">
        <v>16</v>
      </c>
      <c r="AV48" s="88" t="s">
        <v>16</v>
      </c>
      <c r="AW48" s="89" t="s">
        <v>16</v>
      </c>
      <c r="AX48" s="87"/>
      <c r="AY48" s="89" t="s">
        <v>16</v>
      </c>
      <c r="AZ48" s="90"/>
      <c r="BA48" s="87"/>
      <c r="BB48" s="89" t="s">
        <v>16</v>
      </c>
      <c r="BC48" s="87"/>
      <c r="BD48" s="91" t="s">
        <v>16</v>
      </c>
      <c r="BE48" s="86" t="s">
        <v>16</v>
      </c>
      <c r="BF48" s="90"/>
      <c r="BG48" s="90"/>
      <c r="BH48" s="87"/>
      <c r="BI48" s="88" t="s">
        <v>16</v>
      </c>
      <c r="BJ48" s="88" t="s">
        <v>16</v>
      </c>
      <c r="BK48" s="89" t="s">
        <v>16</v>
      </c>
      <c r="BL48" s="87"/>
      <c r="BM48" s="89" t="s">
        <v>16</v>
      </c>
      <c r="BN48" s="87"/>
      <c r="BO48" s="89" t="s">
        <v>16</v>
      </c>
      <c r="BP48" s="90"/>
      <c r="BQ48" s="90"/>
      <c r="BR48" s="92"/>
      <c r="BS48" s="94">
        <f t="shared" si="0"/>
        <v>0</v>
      </c>
      <c r="BT48" s="95"/>
      <c r="BU48" s="96"/>
      <c r="BV48" s="94">
        <f t="shared" si="1"/>
        <v>0</v>
      </c>
      <c r="BW48" s="95"/>
      <c r="BX48" s="95"/>
      <c r="BY48" s="96"/>
      <c r="BZ48" s="97"/>
      <c r="CA48" s="98"/>
      <c r="CB48" s="98"/>
      <c r="CC48" s="98"/>
      <c r="CD48" s="98"/>
      <c r="CE48" s="98"/>
      <c r="CF48" s="98"/>
      <c r="CG48" s="99"/>
    </row>
    <row r="49" spans="1:85">
      <c r="A49" s="80">
        <v>31</v>
      </c>
      <c r="B49" s="81"/>
      <c r="C49" s="81"/>
      <c r="D49" s="81"/>
      <c r="E49" s="81"/>
      <c r="F49" s="82"/>
      <c r="G49" s="83" t="str">
        <f>IFERROR(INDEX([1]INPUT_DATA_Learners!T:T,MATCH(#REF!,[1]INPUT_DATA_Learners!$A:$A,0)),"")</f>
        <v/>
      </c>
      <c r="H49" s="84"/>
      <c r="I49" s="84"/>
      <c r="J49" s="85"/>
      <c r="K49" s="86" t="s">
        <v>16</v>
      </c>
      <c r="L49" s="87"/>
      <c r="M49" s="88" t="s">
        <v>16</v>
      </c>
      <c r="N49" s="88" t="s">
        <v>16</v>
      </c>
      <c r="O49" s="89" t="s">
        <v>16</v>
      </c>
      <c r="P49" s="90"/>
      <c r="Q49" s="90"/>
      <c r="R49" s="87"/>
      <c r="S49" s="89" t="s">
        <v>16</v>
      </c>
      <c r="T49" s="90"/>
      <c r="U49" s="87"/>
      <c r="V49" s="91" t="s">
        <v>16</v>
      </c>
      <c r="W49" s="86" t="s">
        <v>16</v>
      </c>
      <c r="X49" s="90"/>
      <c r="Y49" s="87"/>
      <c r="Z49" s="88" t="s">
        <v>16</v>
      </c>
      <c r="AA49" s="88" t="s">
        <v>16</v>
      </c>
      <c r="AB49" s="89" t="s">
        <v>16</v>
      </c>
      <c r="AC49" s="90"/>
      <c r="AD49" s="87"/>
      <c r="AE49" s="89" t="s">
        <v>16</v>
      </c>
      <c r="AF49" s="90"/>
      <c r="AG49" s="87"/>
      <c r="AH49" s="91" t="s">
        <v>16</v>
      </c>
      <c r="AI49" s="86" t="s">
        <v>16</v>
      </c>
      <c r="AJ49" s="90"/>
      <c r="AK49" s="87"/>
      <c r="AL49" s="89" t="s">
        <v>16</v>
      </c>
      <c r="AM49" s="87"/>
      <c r="AN49" s="89" t="s">
        <v>16</v>
      </c>
      <c r="AO49" s="87"/>
      <c r="AP49" s="89" t="s">
        <v>16</v>
      </c>
      <c r="AQ49" s="87"/>
      <c r="AR49" s="88" t="s">
        <v>16</v>
      </c>
      <c r="AS49" s="89" t="s">
        <v>16</v>
      </c>
      <c r="AT49" s="92"/>
      <c r="AU49" s="93" t="s">
        <v>16</v>
      </c>
      <c r="AV49" s="88" t="s">
        <v>16</v>
      </c>
      <c r="AW49" s="89" t="s">
        <v>16</v>
      </c>
      <c r="AX49" s="87"/>
      <c r="AY49" s="89" t="s">
        <v>16</v>
      </c>
      <c r="AZ49" s="90"/>
      <c r="BA49" s="87"/>
      <c r="BB49" s="89" t="s">
        <v>16</v>
      </c>
      <c r="BC49" s="87"/>
      <c r="BD49" s="91" t="s">
        <v>16</v>
      </c>
      <c r="BE49" s="86" t="s">
        <v>16</v>
      </c>
      <c r="BF49" s="90"/>
      <c r="BG49" s="90"/>
      <c r="BH49" s="87"/>
      <c r="BI49" s="88" t="s">
        <v>16</v>
      </c>
      <c r="BJ49" s="88" t="s">
        <v>16</v>
      </c>
      <c r="BK49" s="89" t="s">
        <v>16</v>
      </c>
      <c r="BL49" s="87"/>
      <c r="BM49" s="89" t="s">
        <v>16</v>
      </c>
      <c r="BN49" s="87"/>
      <c r="BO49" s="89" t="s">
        <v>16</v>
      </c>
      <c r="BP49" s="90"/>
      <c r="BQ49" s="90"/>
      <c r="BR49" s="92"/>
      <c r="BS49" s="94">
        <f t="shared" si="0"/>
        <v>0</v>
      </c>
      <c r="BT49" s="95"/>
      <c r="BU49" s="96"/>
      <c r="BV49" s="94">
        <f t="shared" si="1"/>
        <v>0</v>
      </c>
      <c r="BW49" s="95"/>
      <c r="BX49" s="95"/>
      <c r="BY49" s="96"/>
      <c r="BZ49" s="97"/>
      <c r="CA49" s="98"/>
      <c r="CB49" s="98"/>
      <c r="CC49" s="98"/>
      <c r="CD49" s="98"/>
      <c r="CE49" s="98"/>
      <c r="CF49" s="98"/>
      <c r="CG49" s="99"/>
    </row>
    <row r="50" spans="1:85">
      <c r="A50" s="80">
        <v>32</v>
      </c>
      <c r="B50" s="81"/>
      <c r="C50" s="81"/>
      <c r="D50" s="81"/>
      <c r="E50" s="81"/>
      <c r="F50" s="82"/>
      <c r="G50" s="83" t="str">
        <f>IFERROR(INDEX([1]INPUT_DATA_Learners!T:T,MATCH(#REF!,[1]INPUT_DATA_Learners!$A:$A,0)),"")</f>
        <v/>
      </c>
      <c r="H50" s="84"/>
      <c r="I50" s="84"/>
      <c r="J50" s="85"/>
      <c r="K50" s="86" t="s">
        <v>16</v>
      </c>
      <c r="L50" s="87"/>
      <c r="M50" s="88" t="s">
        <v>16</v>
      </c>
      <c r="N50" s="88" t="s">
        <v>16</v>
      </c>
      <c r="O50" s="89" t="s">
        <v>16</v>
      </c>
      <c r="P50" s="90"/>
      <c r="Q50" s="90"/>
      <c r="R50" s="87"/>
      <c r="S50" s="89" t="s">
        <v>16</v>
      </c>
      <c r="T50" s="90"/>
      <c r="U50" s="87"/>
      <c r="V50" s="91" t="s">
        <v>16</v>
      </c>
      <c r="W50" s="86" t="s">
        <v>16</v>
      </c>
      <c r="X50" s="90"/>
      <c r="Y50" s="87"/>
      <c r="Z50" s="88" t="s">
        <v>16</v>
      </c>
      <c r="AA50" s="88" t="s">
        <v>16</v>
      </c>
      <c r="AB50" s="89" t="s">
        <v>16</v>
      </c>
      <c r="AC50" s="90"/>
      <c r="AD50" s="87"/>
      <c r="AE50" s="89" t="s">
        <v>16</v>
      </c>
      <c r="AF50" s="90"/>
      <c r="AG50" s="87"/>
      <c r="AH50" s="91" t="s">
        <v>16</v>
      </c>
      <c r="AI50" s="86" t="s">
        <v>16</v>
      </c>
      <c r="AJ50" s="90"/>
      <c r="AK50" s="87"/>
      <c r="AL50" s="89" t="s">
        <v>16</v>
      </c>
      <c r="AM50" s="87"/>
      <c r="AN50" s="89" t="s">
        <v>16</v>
      </c>
      <c r="AO50" s="87"/>
      <c r="AP50" s="89" t="s">
        <v>16</v>
      </c>
      <c r="AQ50" s="87"/>
      <c r="AR50" s="88" t="s">
        <v>16</v>
      </c>
      <c r="AS50" s="89" t="s">
        <v>16</v>
      </c>
      <c r="AT50" s="92"/>
      <c r="AU50" s="93" t="s">
        <v>16</v>
      </c>
      <c r="AV50" s="88" t="s">
        <v>16</v>
      </c>
      <c r="AW50" s="89" t="s">
        <v>16</v>
      </c>
      <c r="AX50" s="87"/>
      <c r="AY50" s="89" t="s">
        <v>16</v>
      </c>
      <c r="AZ50" s="90"/>
      <c r="BA50" s="87"/>
      <c r="BB50" s="89" t="s">
        <v>16</v>
      </c>
      <c r="BC50" s="87"/>
      <c r="BD50" s="91" t="s">
        <v>16</v>
      </c>
      <c r="BE50" s="86" t="s">
        <v>16</v>
      </c>
      <c r="BF50" s="90"/>
      <c r="BG50" s="90"/>
      <c r="BH50" s="87"/>
      <c r="BI50" s="88" t="s">
        <v>16</v>
      </c>
      <c r="BJ50" s="88" t="s">
        <v>16</v>
      </c>
      <c r="BK50" s="89" t="s">
        <v>16</v>
      </c>
      <c r="BL50" s="87"/>
      <c r="BM50" s="89" t="s">
        <v>16</v>
      </c>
      <c r="BN50" s="87"/>
      <c r="BO50" s="89" t="s">
        <v>16</v>
      </c>
      <c r="BP50" s="90"/>
      <c r="BQ50" s="90"/>
      <c r="BR50" s="92"/>
      <c r="BS50" s="94">
        <f t="shared" si="0"/>
        <v>0</v>
      </c>
      <c r="BT50" s="95"/>
      <c r="BU50" s="96"/>
      <c r="BV50" s="94">
        <f t="shared" si="1"/>
        <v>0</v>
      </c>
      <c r="BW50" s="95"/>
      <c r="BX50" s="95"/>
      <c r="BY50" s="96"/>
      <c r="BZ50" s="97"/>
      <c r="CA50" s="98"/>
      <c r="CB50" s="98"/>
      <c r="CC50" s="98"/>
      <c r="CD50" s="98"/>
      <c r="CE50" s="98"/>
      <c r="CF50" s="98"/>
      <c r="CG50" s="99"/>
    </row>
    <row r="51" spans="1:85">
      <c r="A51" s="80">
        <v>33</v>
      </c>
      <c r="B51" s="81"/>
      <c r="C51" s="81"/>
      <c r="D51" s="81"/>
      <c r="E51" s="81"/>
      <c r="F51" s="82"/>
      <c r="G51" s="83" t="str">
        <f>IFERROR(INDEX([1]INPUT_DATA_Learners!T:T,MATCH(#REF!,[1]INPUT_DATA_Learners!$A:$A,0)),"")</f>
        <v/>
      </c>
      <c r="H51" s="84"/>
      <c r="I51" s="84"/>
      <c r="J51" s="85"/>
      <c r="K51" s="86" t="s">
        <v>16</v>
      </c>
      <c r="L51" s="87"/>
      <c r="M51" s="88" t="s">
        <v>16</v>
      </c>
      <c r="N51" s="88" t="s">
        <v>16</v>
      </c>
      <c r="O51" s="89" t="s">
        <v>16</v>
      </c>
      <c r="P51" s="90"/>
      <c r="Q51" s="90"/>
      <c r="R51" s="87"/>
      <c r="S51" s="89" t="s">
        <v>16</v>
      </c>
      <c r="T51" s="90"/>
      <c r="U51" s="87"/>
      <c r="V51" s="91" t="s">
        <v>16</v>
      </c>
      <c r="W51" s="86" t="s">
        <v>16</v>
      </c>
      <c r="X51" s="90"/>
      <c r="Y51" s="87"/>
      <c r="Z51" s="88" t="s">
        <v>16</v>
      </c>
      <c r="AA51" s="88" t="s">
        <v>16</v>
      </c>
      <c r="AB51" s="89" t="s">
        <v>16</v>
      </c>
      <c r="AC51" s="90"/>
      <c r="AD51" s="87"/>
      <c r="AE51" s="89" t="s">
        <v>16</v>
      </c>
      <c r="AF51" s="90"/>
      <c r="AG51" s="87"/>
      <c r="AH51" s="91" t="s">
        <v>16</v>
      </c>
      <c r="AI51" s="86" t="s">
        <v>16</v>
      </c>
      <c r="AJ51" s="90"/>
      <c r="AK51" s="87"/>
      <c r="AL51" s="89" t="s">
        <v>16</v>
      </c>
      <c r="AM51" s="87"/>
      <c r="AN51" s="89" t="s">
        <v>16</v>
      </c>
      <c r="AO51" s="87"/>
      <c r="AP51" s="89" t="s">
        <v>16</v>
      </c>
      <c r="AQ51" s="87"/>
      <c r="AR51" s="88" t="s">
        <v>16</v>
      </c>
      <c r="AS51" s="89" t="s">
        <v>16</v>
      </c>
      <c r="AT51" s="92"/>
      <c r="AU51" s="93" t="s">
        <v>16</v>
      </c>
      <c r="AV51" s="88" t="s">
        <v>16</v>
      </c>
      <c r="AW51" s="89" t="s">
        <v>16</v>
      </c>
      <c r="AX51" s="87"/>
      <c r="AY51" s="89" t="s">
        <v>16</v>
      </c>
      <c r="AZ51" s="90"/>
      <c r="BA51" s="87"/>
      <c r="BB51" s="89" t="s">
        <v>16</v>
      </c>
      <c r="BC51" s="87"/>
      <c r="BD51" s="91" t="s">
        <v>16</v>
      </c>
      <c r="BE51" s="86" t="s">
        <v>16</v>
      </c>
      <c r="BF51" s="90"/>
      <c r="BG51" s="90"/>
      <c r="BH51" s="87"/>
      <c r="BI51" s="88" t="s">
        <v>16</v>
      </c>
      <c r="BJ51" s="88" t="s">
        <v>16</v>
      </c>
      <c r="BK51" s="89" t="s">
        <v>16</v>
      </c>
      <c r="BL51" s="87"/>
      <c r="BM51" s="89" t="s">
        <v>16</v>
      </c>
      <c r="BN51" s="87"/>
      <c r="BO51" s="89" t="s">
        <v>16</v>
      </c>
      <c r="BP51" s="90"/>
      <c r="BQ51" s="90"/>
      <c r="BR51" s="92"/>
      <c r="BS51" s="94">
        <f t="shared" si="0"/>
        <v>0</v>
      </c>
      <c r="BT51" s="95"/>
      <c r="BU51" s="96"/>
      <c r="BV51" s="94">
        <f t="shared" si="1"/>
        <v>0</v>
      </c>
      <c r="BW51" s="95"/>
      <c r="BX51" s="95"/>
      <c r="BY51" s="96"/>
      <c r="BZ51" s="97"/>
      <c r="CA51" s="98"/>
      <c r="CB51" s="98"/>
      <c r="CC51" s="98"/>
      <c r="CD51" s="98"/>
      <c r="CE51" s="98"/>
      <c r="CF51" s="98"/>
      <c r="CG51" s="99"/>
    </row>
    <row r="52" spans="1:85">
      <c r="A52" s="80">
        <v>34</v>
      </c>
      <c r="B52" s="81"/>
      <c r="C52" s="81"/>
      <c r="D52" s="81"/>
      <c r="E52" s="81"/>
      <c r="F52" s="82"/>
      <c r="G52" s="83" t="str">
        <f>IFERROR(INDEX([1]INPUT_DATA_Learners!T:T,MATCH(#REF!,[1]INPUT_DATA_Learners!$A:$A,0)),"")</f>
        <v/>
      </c>
      <c r="H52" s="84"/>
      <c r="I52" s="84"/>
      <c r="J52" s="85"/>
      <c r="K52" s="86" t="s">
        <v>16</v>
      </c>
      <c r="L52" s="87"/>
      <c r="M52" s="88" t="s">
        <v>16</v>
      </c>
      <c r="N52" s="88" t="s">
        <v>16</v>
      </c>
      <c r="O52" s="89" t="s">
        <v>16</v>
      </c>
      <c r="P52" s="90"/>
      <c r="Q52" s="90"/>
      <c r="R52" s="87"/>
      <c r="S52" s="89" t="s">
        <v>16</v>
      </c>
      <c r="T52" s="90"/>
      <c r="U52" s="87"/>
      <c r="V52" s="91" t="s">
        <v>16</v>
      </c>
      <c r="W52" s="86" t="s">
        <v>16</v>
      </c>
      <c r="X52" s="90"/>
      <c r="Y52" s="87"/>
      <c r="Z52" s="88" t="s">
        <v>16</v>
      </c>
      <c r="AA52" s="88" t="s">
        <v>16</v>
      </c>
      <c r="AB52" s="89" t="s">
        <v>16</v>
      </c>
      <c r="AC52" s="90"/>
      <c r="AD52" s="87"/>
      <c r="AE52" s="89" t="s">
        <v>16</v>
      </c>
      <c r="AF52" s="90"/>
      <c r="AG52" s="87"/>
      <c r="AH52" s="91" t="s">
        <v>16</v>
      </c>
      <c r="AI52" s="86" t="s">
        <v>16</v>
      </c>
      <c r="AJ52" s="90"/>
      <c r="AK52" s="87"/>
      <c r="AL52" s="89" t="s">
        <v>16</v>
      </c>
      <c r="AM52" s="87"/>
      <c r="AN52" s="89" t="s">
        <v>16</v>
      </c>
      <c r="AO52" s="87"/>
      <c r="AP52" s="89" t="s">
        <v>16</v>
      </c>
      <c r="AQ52" s="87"/>
      <c r="AR52" s="88" t="s">
        <v>16</v>
      </c>
      <c r="AS52" s="89" t="s">
        <v>16</v>
      </c>
      <c r="AT52" s="92"/>
      <c r="AU52" s="93" t="s">
        <v>16</v>
      </c>
      <c r="AV52" s="88" t="s">
        <v>16</v>
      </c>
      <c r="AW52" s="89" t="s">
        <v>16</v>
      </c>
      <c r="AX52" s="87"/>
      <c r="AY52" s="89" t="s">
        <v>16</v>
      </c>
      <c r="AZ52" s="90"/>
      <c r="BA52" s="87"/>
      <c r="BB52" s="89" t="s">
        <v>16</v>
      </c>
      <c r="BC52" s="87"/>
      <c r="BD52" s="91" t="s">
        <v>16</v>
      </c>
      <c r="BE52" s="86" t="s">
        <v>16</v>
      </c>
      <c r="BF52" s="90"/>
      <c r="BG52" s="90"/>
      <c r="BH52" s="87"/>
      <c r="BI52" s="88" t="s">
        <v>16</v>
      </c>
      <c r="BJ52" s="88" t="s">
        <v>16</v>
      </c>
      <c r="BK52" s="89" t="s">
        <v>16</v>
      </c>
      <c r="BL52" s="87"/>
      <c r="BM52" s="89" t="s">
        <v>16</v>
      </c>
      <c r="BN52" s="87"/>
      <c r="BO52" s="89" t="s">
        <v>16</v>
      </c>
      <c r="BP52" s="90"/>
      <c r="BQ52" s="90"/>
      <c r="BR52" s="92"/>
      <c r="BS52" s="94">
        <f t="shared" si="0"/>
        <v>0</v>
      </c>
      <c r="BT52" s="95"/>
      <c r="BU52" s="96"/>
      <c r="BV52" s="94">
        <f t="shared" si="1"/>
        <v>0</v>
      </c>
      <c r="BW52" s="95"/>
      <c r="BX52" s="95"/>
      <c r="BY52" s="96"/>
      <c r="BZ52" s="97"/>
      <c r="CA52" s="98"/>
      <c r="CB52" s="98"/>
      <c r="CC52" s="98"/>
      <c r="CD52" s="98"/>
      <c r="CE52" s="98"/>
      <c r="CF52" s="98"/>
      <c r="CG52" s="99"/>
    </row>
    <row r="53" spans="1:85">
      <c r="A53" s="80">
        <v>35</v>
      </c>
      <c r="B53" s="81"/>
      <c r="C53" s="81"/>
      <c r="D53" s="81"/>
      <c r="E53" s="81"/>
      <c r="F53" s="82"/>
      <c r="G53" s="83" t="str">
        <f>IFERROR(INDEX([1]INPUT_DATA_Learners!T:T,MATCH(#REF!,[1]INPUT_DATA_Learners!$A:$A,0)),"")</f>
        <v/>
      </c>
      <c r="H53" s="84"/>
      <c r="I53" s="84"/>
      <c r="J53" s="85"/>
      <c r="K53" s="86" t="s">
        <v>16</v>
      </c>
      <c r="L53" s="87"/>
      <c r="M53" s="88" t="s">
        <v>16</v>
      </c>
      <c r="N53" s="88" t="s">
        <v>16</v>
      </c>
      <c r="O53" s="89" t="s">
        <v>16</v>
      </c>
      <c r="P53" s="90"/>
      <c r="Q53" s="90"/>
      <c r="R53" s="87"/>
      <c r="S53" s="89" t="s">
        <v>16</v>
      </c>
      <c r="T53" s="90"/>
      <c r="U53" s="87"/>
      <c r="V53" s="91" t="s">
        <v>16</v>
      </c>
      <c r="W53" s="86" t="s">
        <v>16</v>
      </c>
      <c r="X53" s="90"/>
      <c r="Y53" s="87"/>
      <c r="Z53" s="88" t="s">
        <v>16</v>
      </c>
      <c r="AA53" s="88" t="s">
        <v>16</v>
      </c>
      <c r="AB53" s="89" t="s">
        <v>16</v>
      </c>
      <c r="AC53" s="90"/>
      <c r="AD53" s="87"/>
      <c r="AE53" s="89" t="s">
        <v>16</v>
      </c>
      <c r="AF53" s="90"/>
      <c r="AG53" s="87"/>
      <c r="AH53" s="91" t="s">
        <v>16</v>
      </c>
      <c r="AI53" s="86" t="s">
        <v>16</v>
      </c>
      <c r="AJ53" s="90"/>
      <c r="AK53" s="87"/>
      <c r="AL53" s="89" t="s">
        <v>16</v>
      </c>
      <c r="AM53" s="87"/>
      <c r="AN53" s="89" t="s">
        <v>16</v>
      </c>
      <c r="AO53" s="87"/>
      <c r="AP53" s="89" t="s">
        <v>16</v>
      </c>
      <c r="AQ53" s="87"/>
      <c r="AR53" s="88" t="s">
        <v>16</v>
      </c>
      <c r="AS53" s="89" t="s">
        <v>16</v>
      </c>
      <c r="AT53" s="92"/>
      <c r="AU53" s="93" t="s">
        <v>16</v>
      </c>
      <c r="AV53" s="88" t="s">
        <v>16</v>
      </c>
      <c r="AW53" s="89" t="s">
        <v>16</v>
      </c>
      <c r="AX53" s="87"/>
      <c r="AY53" s="89" t="s">
        <v>16</v>
      </c>
      <c r="AZ53" s="90"/>
      <c r="BA53" s="87"/>
      <c r="BB53" s="89" t="s">
        <v>16</v>
      </c>
      <c r="BC53" s="87"/>
      <c r="BD53" s="91" t="s">
        <v>16</v>
      </c>
      <c r="BE53" s="86" t="s">
        <v>16</v>
      </c>
      <c r="BF53" s="90"/>
      <c r="BG53" s="90"/>
      <c r="BH53" s="87"/>
      <c r="BI53" s="88" t="s">
        <v>16</v>
      </c>
      <c r="BJ53" s="88" t="s">
        <v>16</v>
      </c>
      <c r="BK53" s="89" t="s">
        <v>16</v>
      </c>
      <c r="BL53" s="87"/>
      <c r="BM53" s="89" t="s">
        <v>16</v>
      </c>
      <c r="BN53" s="87"/>
      <c r="BO53" s="89" t="s">
        <v>16</v>
      </c>
      <c r="BP53" s="90"/>
      <c r="BQ53" s="90"/>
      <c r="BR53" s="92"/>
      <c r="BS53" s="94">
        <f t="shared" si="0"/>
        <v>0</v>
      </c>
      <c r="BT53" s="95"/>
      <c r="BU53" s="96"/>
      <c r="BV53" s="94">
        <f t="shared" si="1"/>
        <v>0</v>
      </c>
      <c r="BW53" s="95"/>
      <c r="BX53" s="95"/>
      <c r="BY53" s="96"/>
      <c r="BZ53" s="97"/>
      <c r="CA53" s="98"/>
      <c r="CB53" s="98"/>
      <c r="CC53" s="98"/>
      <c r="CD53" s="98"/>
      <c r="CE53" s="98"/>
      <c r="CF53" s="98"/>
      <c r="CG53" s="99"/>
    </row>
    <row r="54" spans="1:85">
      <c r="A54" s="80">
        <v>36</v>
      </c>
      <c r="B54" s="81"/>
      <c r="C54" s="81"/>
      <c r="D54" s="81"/>
      <c r="E54" s="81"/>
      <c r="F54" s="82"/>
      <c r="G54" s="83" t="str">
        <f>IFERROR(INDEX([1]INPUT_DATA_Learners!T:T,MATCH(#REF!,[1]INPUT_DATA_Learners!$A:$A,0)),"")</f>
        <v/>
      </c>
      <c r="H54" s="84"/>
      <c r="I54" s="84"/>
      <c r="J54" s="85"/>
      <c r="K54" s="86" t="s">
        <v>16</v>
      </c>
      <c r="L54" s="87"/>
      <c r="M54" s="88" t="s">
        <v>16</v>
      </c>
      <c r="N54" s="88" t="s">
        <v>16</v>
      </c>
      <c r="O54" s="89" t="s">
        <v>16</v>
      </c>
      <c r="P54" s="90"/>
      <c r="Q54" s="90"/>
      <c r="R54" s="87"/>
      <c r="S54" s="89" t="s">
        <v>16</v>
      </c>
      <c r="T54" s="90"/>
      <c r="U54" s="87"/>
      <c r="V54" s="91" t="s">
        <v>16</v>
      </c>
      <c r="W54" s="86" t="s">
        <v>16</v>
      </c>
      <c r="X54" s="90"/>
      <c r="Y54" s="87"/>
      <c r="Z54" s="88" t="s">
        <v>16</v>
      </c>
      <c r="AA54" s="88" t="s">
        <v>16</v>
      </c>
      <c r="AB54" s="89" t="s">
        <v>16</v>
      </c>
      <c r="AC54" s="90"/>
      <c r="AD54" s="87"/>
      <c r="AE54" s="89" t="s">
        <v>16</v>
      </c>
      <c r="AF54" s="90"/>
      <c r="AG54" s="87"/>
      <c r="AH54" s="91" t="s">
        <v>16</v>
      </c>
      <c r="AI54" s="86" t="s">
        <v>16</v>
      </c>
      <c r="AJ54" s="90"/>
      <c r="AK54" s="87"/>
      <c r="AL54" s="89" t="s">
        <v>16</v>
      </c>
      <c r="AM54" s="87"/>
      <c r="AN54" s="89" t="s">
        <v>16</v>
      </c>
      <c r="AO54" s="87"/>
      <c r="AP54" s="89" t="s">
        <v>16</v>
      </c>
      <c r="AQ54" s="87"/>
      <c r="AR54" s="88" t="s">
        <v>16</v>
      </c>
      <c r="AS54" s="89" t="s">
        <v>16</v>
      </c>
      <c r="AT54" s="92"/>
      <c r="AU54" s="93" t="s">
        <v>16</v>
      </c>
      <c r="AV54" s="88" t="s">
        <v>16</v>
      </c>
      <c r="AW54" s="89" t="s">
        <v>16</v>
      </c>
      <c r="AX54" s="87"/>
      <c r="AY54" s="89" t="s">
        <v>16</v>
      </c>
      <c r="AZ54" s="90"/>
      <c r="BA54" s="87"/>
      <c r="BB54" s="89" t="s">
        <v>16</v>
      </c>
      <c r="BC54" s="87"/>
      <c r="BD54" s="91" t="s">
        <v>16</v>
      </c>
      <c r="BE54" s="86" t="s">
        <v>16</v>
      </c>
      <c r="BF54" s="90"/>
      <c r="BG54" s="90"/>
      <c r="BH54" s="87"/>
      <c r="BI54" s="88" t="s">
        <v>16</v>
      </c>
      <c r="BJ54" s="88" t="s">
        <v>16</v>
      </c>
      <c r="BK54" s="89" t="s">
        <v>16</v>
      </c>
      <c r="BL54" s="87"/>
      <c r="BM54" s="89" t="s">
        <v>16</v>
      </c>
      <c r="BN54" s="87"/>
      <c r="BO54" s="89" t="s">
        <v>16</v>
      </c>
      <c r="BP54" s="90"/>
      <c r="BQ54" s="90"/>
      <c r="BR54" s="92"/>
      <c r="BS54" s="94">
        <f t="shared" si="0"/>
        <v>0</v>
      </c>
      <c r="BT54" s="95"/>
      <c r="BU54" s="96"/>
      <c r="BV54" s="94">
        <f t="shared" si="1"/>
        <v>0</v>
      </c>
      <c r="BW54" s="95"/>
      <c r="BX54" s="95"/>
      <c r="BY54" s="96"/>
      <c r="BZ54" s="97"/>
      <c r="CA54" s="98"/>
      <c r="CB54" s="98"/>
      <c r="CC54" s="98"/>
      <c r="CD54" s="98"/>
      <c r="CE54" s="98"/>
      <c r="CF54" s="98"/>
      <c r="CG54" s="99"/>
    </row>
    <row r="55" spans="1:85">
      <c r="A55" s="80">
        <v>37</v>
      </c>
      <c r="B55" s="81"/>
      <c r="C55" s="81"/>
      <c r="D55" s="81"/>
      <c r="E55" s="81"/>
      <c r="F55" s="82"/>
      <c r="G55" s="83" t="str">
        <f>IFERROR(INDEX([1]INPUT_DATA_Learners!T:T,MATCH(#REF!,[1]INPUT_DATA_Learners!$A:$A,0)),"")</f>
        <v/>
      </c>
      <c r="H55" s="84"/>
      <c r="I55" s="84"/>
      <c r="J55" s="85"/>
      <c r="K55" s="86" t="s">
        <v>16</v>
      </c>
      <c r="L55" s="87"/>
      <c r="M55" s="88" t="s">
        <v>16</v>
      </c>
      <c r="N55" s="88" t="s">
        <v>16</v>
      </c>
      <c r="O55" s="89" t="s">
        <v>16</v>
      </c>
      <c r="P55" s="90"/>
      <c r="Q55" s="90"/>
      <c r="R55" s="87"/>
      <c r="S55" s="89" t="s">
        <v>16</v>
      </c>
      <c r="T55" s="90"/>
      <c r="U55" s="87"/>
      <c r="V55" s="91" t="s">
        <v>16</v>
      </c>
      <c r="W55" s="86" t="s">
        <v>16</v>
      </c>
      <c r="X55" s="90"/>
      <c r="Y55" s="87"/>
      <c r="Z55" s="88" t="s">
        <v>16</v>
      </c>
      <c r="AA55" s="88" t="s">
        <v>16</v>
      </c>
      <c r="AB55" s="89" t="s">
        <v>16</v>
      </c>
      <c r="AC55" s="90"/>
      <c r="AD55" s="87"/>
      <c r="AE55" s="89" t="s">
        <v>16</v>
      </c>
      <c r="AF55" s="90"/>
      <c r="AG55" s="87"/>
      <c r="AH55" s="91" t="s">
        <v>16</v>
      </c>
      <c r="AI55" s="86" t="s">
        <v>16</v>
      </c>
      <c r="AJ55" s="90"/>
      <c r="AK55" s="87"/>
      <c r="AL55" s="89" t="s">
        <v>16</v>
      </c>
      <c r="AM55" s="87"/>
      <c r="AN55" s="89" t="s">
        <v>16</v>
      </c>
      <c r="AO55" s="87"/>
      <c r="AP55" s="89" t="s">
        <v>16</v>
      </c>
      <c r="AQ55" s="87"/>
      <c r="AR55" s="88" t="s">
        <v>16</v>
      </c>
      <c r="AS55" s="89" t="s">
        <v>16</v>
      </c>
      <c r="AT55" s="92"/>
      <c r="AU55" s="93" t="s">
        <v>16</v>
      </c>
      <c r="AV55" s="88" t="s">
        <v>16</v>
      </c>
      <c r="AW55" s="89" t="s">
        <v>16</v>
      </c>
      <c r="AX55" s="87"/>
      <c r="AY55" s="89" t="s">
        <v>16</v>
      </c>
      <c r="AZ55" s="90"/>
      <c r="BA55" s="87"/>
      <c r="BB55" s="89" t="s">
        <v>16</v>
      </c>
      <c r="BC55" s="87"/>
      <c r="BD55" s="91" t="s">
        <v>16</v>
      </c>
      <c r="BE55" s="86" t="s">
        <v>16</v>
      </c>
      <c r="BF55" s="90"/>
      <c r="BG55" s="90"/>
      <c r="BH55" s="87"/>
      <c r="BI55" s="88" t="s">
        <v>16</v>
      </c>
      <c r="BJ55" s="88" t="s">
        <v>16</v>
      </c>
      <c r="BK55" s="89" t="s">
        <v>16</v>
      </c>
      <c r="BL55" s="87"/>
      <c r="BM55" s="89" t="s">
        <v>16</v>
      </c>
      <c r="BN55" s="87"/>
      <c r="BO55" s="89" t="s">
        <v>16</v>
      </c>
      <c r="BP55" s="90"/>
      <c r="BQ55" s="90"/>
      <c r="BR55" s="92"/>
      <c r="BS55" s="94">
        <f t="shared" si="0"/>
        <v>0</v>
      </c>
      <c r="BT55" s="95"/>
      <c r="BU55" s="96"/>
      <c r="BV55" s="94">
        <f t="shared" si="1"/>
        <v>0</v>
      </c>
      <c r="BW55" s="95"/>
      <c r="BX55" s="95"/>
      <c r="BY55" s="96"/>
      <c r="BZ55" s="97"/>
      <c r="CA55" s="98"/>
      <c r="CB55" s="98"/>
      <c r="CC55" s="98"/>
      <c r="CD55" s="98"/>
      <c r="CE55" s="98"/>
      <c r="CF55" s="98"/>
      <c r="CG55" s="99"/>
    </row>
    <row r="56" spans="1:85">
      <c r="A56" s="80">
        <v>38</v>
      </c>
      <c r="B56" s="81"/>
      <c r="C56" s="81"/>
      <c r="D56" s="81"/>
      <c r="E56" s="81"/>
      <c r="F56" s="82"/>
      <c r="G56" s="83" t="str">
        <f>IFERROR(INDEX([1]INPUT_DATA_Learners!T:T,MATCH(#REF!,[1]INPUT_DATA_Learners!$A:$A,0)),"")</f>
        <v/>
      </c>
      <c r="H56" s="84"/>
      <c r="I56" s="84"/>
      <c r="J56" s="85"/>
      <c r="K56" s="86" t="s">
        <v>16</v>
      </c>
      <c r="L56" s="87"/>
      <c r="M56" s="88" t="s">
        <v>16</v>
      </c>
      <c r="N56" s="88" t="s">
        <v>16</v>
      </c>
      <c r="O56" s="89" t="s">
        <v>16</v>
      </c>
      <c r="P56" s="90"/>
      <c r="Q56" s="90"/>
      <c r="R56" s="87"/>
      <c r="S56" s="89" t="s">
        <v>16</v>
      </c>
      <c r="T56" s="90"/>
      <c r="U56" s="87"/>
      <c r="V56" s="91" t="s">
        <v>16</v>
      </c>
      <c r="W56" s="86" t="s">
        <v>16</v>
      </c>
      <c r="X56" s="90"/>
      <c r="Y56" s="87"/>
      <c r="Z56" s="88" t="s">
        <v>16</v>
      </c>
      <c r="AA56" s="88" t="s">
        <v>16</v>
      </c>
      <c r="AB56" s="89" t="s">
        <v>16</v>
      </c>
      <c r="AC56" s="90"/>
      <c r="AD56" s="87"/>
      <c r="AE56" s="89" t="s">
        <v>16</v>
      </c>
      <c r="AF56" s="90"/>
      <c r="AG56" s="87"/>
      <c r="AH56" s="91" t="s">
        <v>16</v>
      </c>
      <c r="AI56" s="86" t="s">
        <v>16</v>
      </c>
      <c r="AJ56" s="90"/>
      <c r="AK56" s="87"/>
      <c r="AL56" s="89" t="s">
        <v>16</v>
      </c>
      <c r="AM56" s="87"/>
      <c r="AN56" s="89" t="s">
        <v>16</v>
      </c>
      <c r="AO56" s="87"/>
      <c r="AP56" s="89" t="s">
        <v>16</v>
      </c>
      <c r="AQ56" s="87"/>
      <c r="AR56" s="88" t="s">
        <v>16</v>
      </c>
      <c r="AS56" s="89" t="s">
        <v>16</v>
      </c>
      <c r="AT56" s="92"/>
      <c r="AU56" s="93" t="s">
        <v>16</v>
      </c>
      <c r="AV56" s="88" t="s">
        <v>16</v>
      </c>
      <c r="AW56" s="89" t="s">
        <v>16</v>
      </c>
      <c r="AX56" s="87"/>
      <c r="AY56" s="89" t="s">
        <v>16</v>
      </c>
      <c r="AZ56" s="90"/>
      <c r="BA56" s="87"/>
      <c r="BB56" s="89" t="s">
        <v>16</v>
      </c>
      <c r="BC56" s="87"/>
      <c r="BD56" s="91" t="s">
        <v>16</v>
      </c>
      <c r="BE56" s="86" t="s">
        <v>16</v>
      </c>
      <c r="BF56" s="90"/>
      <c r="BG56" s="90"/>
      <c r="BH56" s="87"/>
      <c r="BI56" s="88" t="s">
        <v>16</v>
      </c>
      <c r="BJ56" s="88" t="s">
        <v>16</v>
      </c>
      <c r="BK56" s="89" t="s">
        <v>16</v>
      </c>
      <c r="BL56" s="87"/>
      <c r="BM56" s="89" t="s">
        <v>16</v>
      </c>
      <c r="BN56" s="87"/>
      <c r="BO56" s="89" t="s">
        <v>16</v>
      </c>
      <c r="BP56" s="90"/>
      <c r="BQ56" s="90"/>
      <c r="BR56" s="92"/>
      <c r="BS56" s="94">
        <f t="shared" si="0"/>
        <v>0</v>
      </c>
      <c r="BT56" s="95"/>
      <c r="BU56" s="96"/>
      <c r="BV56" s="94">
        <f t="shared" si="1"/>
        <v>0</v>
      </c>
      <c r="BW56" s="95"/>
      <c r="BX56" s="95"/>
      <c r="BY56" s="96"/>
      <c r="BZ56" s="97"/>
      <c r="CA56" s="98"/>
      <c r="CB56" s="98"/>
      <c r="CC56" s="98"/>
      <c r="CD56" s="98"/>
      <c r="CE56" s="98"/>
      <c r="CF56" s="98"/>
      <c r="CG56" s="99"/>
    </row>
    <row r="57" spans="1:85">
      <c r="A57" s="80">
        <v>39</v>
      </c>
      <c r="B57" s="81"/>
      <c r="C57" s="81"/>
      <c r="D57" s="81"/>
      <c r="E57" s="81"/>
      <c r="F57" s="82"/>
      <c r="G57" s="83" t="str">
        <f>IFERROR(INDEX([1]INPUT_DATA_Learners!T:T,MATCH(#REF!,[1]INPUT_DATA_Learners!$A:$A,0)),"")</f>
        <v/>
      </c>
      <c r="H57" s="84"/>
      <c r="I57" s="84"/>
      <c r="J57" s="85"/>
      <c r="K57" s="86" t="s">
        <v>16</v>
      </c>
      <c r="L57" s="87"/>
      <c r="M57" s="88" t="s">
        <v>16</v>
      </c>
      <c r="N57" s="88" t="s">
        <v>16</v>
      </c>
      <c r="O57" s="89" t="s">
        <v>16</v>
      </c>
      <c r="P57" s="90"/>
      <c r="Q57" s="90"/>
      <c r="R57" s="87"/>
      <c r="S57" s="89" t="s">
        <v>16</v>
      </c>
      <c r="T57" s="90"/>
      <c r="U57" s="87"/>
      <c r="V57" s="91" t="s">
        <v>16</v>
      </c>
      <c r="W57" s="86" t="s">
        <v>16</v>
      </c>
      <c r="X57" s="90"/>
      <c r="Y57" s="87"/>
      <c r="Z57" s="88" t="s">
        <v>16</v>
      </c>
      <c r="AA57" s="88" t="s">
        <v>16</v>
      </c>
      <c r="AB57" s="89" t="s">
        <v>16</v>
      </c>
      <c r="AC57" s="90"/>
      <c r="AD57" s="87"/>
      <c r="AE57" s="89" t="s">
        <v>16</v>
      </c>
      <c r="AF57" s="90"/>
      <c r="AG57" s="87"/>
      <c r="AH57" s="91" t="s">
        <v>16</v>
      </c>
      <c r="AI57" s="86" t="s">
        <v>16</v>
      </c>
      <c r="AJ57" s="90"/>
      <c r="AK57" s="87"/>
      <c r="AL57" s="89" t="s">
        <v>16</v>
      </c>
      <c r="AM57" s="87"/>
      <c r="AN57" s="89" t="s">
        <v>16</v>
      </c>
      <c r="AO57" s="87"/>
      <c r="AP57" s="89" t="s">
        <v>16</v>
      </c>
      <c r="AQ57" s="87"/>
      <c r="AR57" s="88" t="s">
        <v>16</v>
      </c>
      <c r="AS57" s="89" t="s">
        <v>16</v>
      </c>
      <c r="AT57" s="92"/>
      <c r="AU57" s="93" t="s">
        <v>16</v>
      </c>
      <c r="AV57" s="88" t="s">
        <v>16</v>
      </c>
      <c r="AW57" s="89" t="s">
        <v>16</v>
      </c>
      <c r="AX57" s="87"/>
      <c r="AY57" s="89" t="s">
        <v>16</v>
      </c>
      <c r="AZ57" s="90"/>
      <c r="BA57" s="87"/>
      <c r="BB57" s="89" t="s">
        <v>16</v>
      </c>
      <c r="BC57" s="87"/>
      <c r="BD57" s="91" t="s">
        <v>16</v>
      </c>
      <c r="BE57" s="86" t="s">
        <v>16</v>
      </c>
      <c r="BF57" s="90"/>
      <c r="BG57" s="90"/>
      <c r="BH57" s="87"/>
      <c r="BI57" s="88" t="s">
        <v>16</v>
      </c>
      <c r="BJ57" s="88" t="s">
        <v>16</v>
      </c>
      <c r="BK57" s="89" t="s">
        <v>16</v>
      </c>
      <c r="BL57" s="87"/>
      <c r="BM57" s="89" t="s">
        <v>16</v>
      </c>
      <c r="BN57" s="87"/>
      <c r="BO57" s="89" t="s">
        <v>16</v>
      </c>
      <c r="BP57" s="90"/>
      <c r="BQ57" s="90"/>
      <c r="BR57" s="92"/>
      <c r="BS57" s="94">
        <f t="shared" si="0"/>
        <v>0</v>
      </c>
      <c r="BT57" s="95"/>
      <c r="BU57" s="96"/>
      <c r="BV57" s="94">
        <f t="shared" si="1"/>
        <v>0</v>
      </c>
      <c r="BW57" s="95"/>
      <c r="BX57" s="95"/>
      <c r="BY57" s="96"/>
      <c r="BZ57" s="97"/>
      <c r="CA57" s="98"/>
      <c r="CB57" s="98"/>
      <c r="CC57" s="98"/>
      <c r="CD57" s="98"/>
      <c r="CE57" s="98"/>
      <c r="CF57" s="98"/>
      <c r="CG57" s="99"/>
    </row>
    <row r="58" spans="1:85">
      <c r="A58" s="80">
        <v>40</v>
      </c>
      <c r="B58" s="81"/>
      <c r="C58" s="81"/>
      <c r="D58" s="81"/>
      <c r="E58" s="81"/>
      <c r="F58" s="82"/>
      <c r="G58" s="83" t="str">
        <f>IFERROR(INDEX([1]INPUT_DATA_Learners!T:T,MATCH(#REF!,[1]INPUT_DATA_Learners!$A:$A,0)),"")</f>
        <v/>
      </c>
      <c r="H58" s="84"/>
      <c r="I58" s="84"/>
      <c r="J58" s="85"/>
      <c r="K58" s="86" t="s">
        <v>16</v>
      </c>
      <c r="L58" s="87"/>
      <c r="M58" s="88" t="s">
        <v>16</v>
      </c>
      <c r="N58" s="88" t="s">
        <v>16</v>
      </c>
      <c r="O58" s="89" t="s">
        <v>16</v>
      </c>
      <c r="P58" s="90"/>
      <c r="Q58" s="90"/>
      <c r="R58" s="87"/>
      <c r="S58" s="89" t="s">
        <v>16</v>
      </c>
      <c r="T58" s="90"/>
      <c r="U58" s="87"/>
      <c r="V58" s="91" t="s">
        <v>16</v>
      </c>
      <c r="W58" s="86" t="s">
        <v>16</v>
      </c>
      <c r="X58" s="90"/>
      <c r="Y58" s="87"/>
      <c r="Z58" s="88" t="s">
        <v>16</v>
      </c>
      <c r="AA58" s="88" t="s">
        <v>16</v>
      </c>
      <c r="AB58" s="89" t="s">
        <v>16</v>
      </c>
      <c r="AC58" s="90"/>
      <c r="AD58" s="87"/>
      <c r="AE58" s="89" t="s">
        <v>16</v>
      </c>
      <c r="AF58" s="90"/>
      <c r="AG58" s="87"/>
      <c r="AH58" s="91" t="s">
        <v>16</v>
      </c>
      <c r="AI58" s="86" t="s">
        <v>16</v>
      </c>
      <c r="AJ58" s="90"/>
      <c r="AK58" s="87"/>
      <c r="AL58" s="89" t="s">
        <v>16</v>
      </c>
      <c r="AM58" s="87"/>
      <c r="AN58" s="89" t="s">
        <v>16</v>
      </c>
      <c r="AO58" s="87"/>
      <c r="AP58" s="89" t="s">
        <v>16</v>
      </c>
      <c r="AQ58" s="87"/>
      <c r="AR58" s="88" t="s">
        <v>16</v>
      </c>
      <c r="AS58" s="89" t="s">
        <v>16</v>
      </c>
      <c r="AT58" s="92"/>
      <c r="AU58" s="93" t="s">
        <v>16</v>
      </c>
      <c r="AV58" s="88" t="s">
        <v>16</v>
      </c>
      <c r="AW58" s="89" t="s">
        <v>16</v>
      </c>
      <c r="AX58" s="87"/>
      <c r="AY58" s="89" t="s">
        <v>16</v>
      </c>
      <c r="AZ58" s="90"/>
      <c r="BA58" s="87"/>
      <c r="BB58" s="89" t="s">
        <v>16</v>
      </c>
      <c r="BC58" s="87"/>
      <c r="BD58" s="91" t="s">
        <v>16</v>
      </c>
      <c r="BE58" s="86" t="s">
        <v>16</v>
      </c>
      <c r="BF58" s="90"/>
      <c r="BG58" s="90"/>
      <c r="BH58" s="87"/>
      <c r="BI58" s="88" t="s">
        <v>16</v>
      </c>
      <c r="BJ58" s="88" t="s">
        <v>16</v>
      </c>
      <c r="BK58" s="89" t="s">
        <v>16</v>
      </c>
      <c r="BL58" s="87"/>
      <c r="BM58" s="89" t="s">
        <v>16</v>
      </c>
      <c r="BN58" s="87"/>
      <c r="BO58" s="89" t="s">
        <v>16</v>
      </c>
      <c r="BP58" s="90"/>
      <c r="BQ58" s="90"/>
      <c r="BR58" s="92"/>
      <c r="BS58" s="94">
        <f t="shared" si="0"/>
        <v>0</v>
      </c>
      <c r="BT58" s="95"/>
      <c r="BU58" s="96"/>
      <c r="BV58" s="94">
        <f t="shared" si="1"/>
        <v>0</v>
      </c>
      <c r="BW58" s="95"/>
      <c r="BX58" s="95"/>
      <c r="BY58" s="96"/>
      <c r="BZ58" s="97"/>
      <c r="CA58" s="98"/>
      <c r="CB58" s="98"/>
      <c r="CC58" s="98"/>
      <c r="CD58" s="98"/>
      <c r="CE58" s="98"/>
      <c r="CF58" s="98"/>
      <c r="CG58" s="99"/>
    </row>
    <row r="59" spans="1:85">
      <c r="A59" s="80">
        <v>41</v>
      </c>
      <c r="B59" s="81"/>
      <c r="C59" s="81"/>
      <c r="D59" s="81"/>
      <c r="E59" s="81"/>
      <c r="F59" s="82"/>
      <c r="G59" s="83" t="str">
        <f>IFERROR(INDEX([1]INPUT_DATA_Learners!T:T,MATCH(#REF!,[1]INPUT_DATA_Learners!$A:$A,0)),"")</f>
        <v/>
      </c>
      <c r="H59" s="84"/>
      <c r="I59" s="84"/>
      <c r="J59" s="85"/>
      <c r="K59" s="86" t="s">
        <v>16</v>
      </c>
      <c r="L59" s="87"/>
      <c r="M59" s="88" t="s">
        <v>16</v>
      </c>
      <c r="N59" s="88" t="s">
        <v>16</v>
      </c>
      <c r="O59" s="89" t="s">
        <v>16</v>
      </c>
      <c r="P59" s="90"/>
      <c r="Q59" s="90"/>
      <c r="R59" s="87"/>
      <c r="S59" s="89" t="s">
        <v>16</v>
      </c>
      <c r="T59" s="90"/>
      <c r="U59" s="87"/>
      <c r="V59" s="91" t="s">
        <v>16</v>
      </c>
      <c r="W59" s="86" t="s">
        <v>16</v>
      </c>
      <c r="X59" s="90"/>
      <c r="Y59" s="87"/>
      <c r="Z59" s="88" t="s">
        <v>16</v>
      </c>
      <c r="AA59" s="88" t="s">
        <v>16</v>
      </c>
      <c r="AB59" s="89" t="s">
        <v>16</v>
      </c>
      <c r="AC59" s="90"/>
      <c r="AD59" s="87"/>
      <c r="AE59" s="89" t="s">
        <v>16</v>
      </c>
      <c r="AF59" s="90"/>
      <c r="AG59" s="87"/>
      <c r="AH59" s="91" t="s">
        <v>16</v>
      </c>
      <c r="AI59" s="86" t="s">
        <v>16</v>
      </c>
      <c r="AJ59" s="90"/>
      <c r="AK59" s="87"/>
      <c r="AL59" s="89" t="s">
        <v>16</v>
      </c>
      <c r="AM59" s="87"/>
      <c r="AN59" s="89" t="s">
        <v>16</v>
      </c>
      <c r="AO59" s="87"/>
      <c r="AP59" s="89" t="s">
        <v>16</v>
      </c>
      <c r="AQ59" s="87"/>
      <c r="AR59" s="88" t="s">
        <v>16</v>
      </c>
      <c r="AS59" s="89" t="s">
        <v>16</v>
      </c>
      <c r="AT59" s="92"/>
      <c r="AU59" s="93" t="s">
        <v>16</v>
      </c>
      <c r="AV59" s="88" t="s">
        <v>16</v>
      </c>
      <c r="AW59" s="89" t="s">
        <v>16</v>
      </c>
      <c r="AX59" s="87"/>
      <c r="AY59" s="89" t="s">
        <v>16</v>
      </c>
      <c r="AZ59" s="90"/>
      <c r="BA59" s="87"/>
      <c r="BB59" s="89" t="s">
        <v>16</v>
      </c>
      <c r="BC59" s="87"/>
      <c r="BD59" s="91" t="s">
        <v>16</v>
      </c>
      <c r="BE59" s="86" t="s">
        <v>16</v>
      </c>
      <c r="BF59" s="90"/>
      <c r="BG59" s="90"/>
      <c r="BH59" s="87"/>
      <c r="BI59" s="88" t="s">
        <v>16</v>
      </c>
      <c r="BJ59" s="88" t="s">
        <v>16</v>
      </c>
      <c r="BK59" s="89" t="s">
        <v>16</v>
      </c>
      <c r="BL59" s="87"/>
      <c r="BM59" s="89" t="s">
        <v>16</v>
      </c>
      <c r="BN59" s="87"/>
      <c r="BO59" s="89" t="s">
        <v>16</v>
      </c>
      <c r="BP59" s="90"/>
      <c r="BQ59" s="90"/>
      <c r="BR59" s="92"/>
      <c r="BS59" s="94">
        <f t="shared" si="0"/>
        <v>0</v>
      </c>
      <c r="BT59" s="95"/>
      <c r="BU59" s="96"/>
      <c r="BV59" s="94">
        <f t="shared" si="1"/>
        <v>0</v>
      </c>
      <c r="BW59" s="95"/>
      <c r="BX59" s="95"/>
      <c r="BY59" s="96"/>
      <c r="BZ59" s="97"/>
      <c r="CA59" s="98"/>
      <c r="CB59" s="98"/>
      <c r="CC59" s="98"/>
      <c r="CD59" s="98"/>
      <c r="CE59" s="98"/>
      <c r="CF59" s="98"/>
      <c r="CG59" s="99"/>
    </row>
    <row r="60" spans="1:85">
      <c r="A60" s="80">
        <v>42</v>
      </c>
      <c r="B60" s="81"/>
      <c r="C60" s="81"/>
      <c r="D60" s="81"/>
      <c r="E60" s="81"/>
      <c r="F60" s="82"/>
      <c r="G60" s="83" t="str">
        <f>IFERROR(INDEX([1]INPUT_DATA_Learners!T:T,MATCH(#REF!,[1]INPUT_DATA_Learners!$A:$A,0)),"")</f>
        <v/>
      </c>
      <c r="H60" s="84"/>
      <c r="I60" s="84"/>
      <c r="J60" s="85"/>
      <c r="K60" s="86" t="s">
        <v>16</v>
      </c>
      <c r="L60" s="87"/>
      <c r="M60" s="88" t="s">
        <v>16</v>
      </c>
      <c r="N60" s="88" t="s">
        <v>16</v>
      </c>
      <c r="O60" s="89" t="s">
        <v>16</v>
      </c>
      <c r="P60" s="90"/>
      <c r="Q60" s="90"/>
      <c r="R60" s="87"/>
      <c r="S60" s="89" t="s">
        <v>16</v>
      </c>
      <c r="T60" s="90"/>
      <c r="U60" s="87"/>
      <c r="V60" s="91" t="s">
        <v>16</v>
      </c>
      <c r="W60" s="86" t="s">
        <v>16</v>
      </c>
      <c r="X60" s="90"/>
      <c r="Y60" s="87"/>
      <c r="Z60" s="88" t="s">
        <v>16</v>
      </c>
      <c r="AA60" s="88" t="s">
        <v>16</v>
      </c>
      <c r="AB60" s="89" t="s">
        <v>16</v>
      </c>
      <c r="AC60" s="90"/>
      <c r="AD60" s="87"/>
      <c r="AE60" s="89" t="s">
        <v>16</v>
      </c>
      <c r="AF60" s="90"/>
      <c r="AG60" s="87"/>
      <c r="AH60" s="91" t="s">
        <v>16</v>
      </c>
      <c r="AI60" s="86" t="s">
        <v>16</v>
      </c>
      <c r="AJ60" s="90"/>
      <c r="AK60" s="87"/>
      <c r="AL60" s="89" t="s">
        <v>16</v>
      </c>
      <c r="AM60" s="87"/>
      <c r="AN60" s="89" t="s">
        <v>16</v>
      </c>
      <c r="AO60" s="87"/>
      <c r="AP60" s="89" t="s">
        <v>16</v>
      </c>
      <c r="AQ60" s="87"/>
      <c r="AR60" s="88" t="s">
        <v>16</v>
      </c>
      <c r="AS60" s="89" t="s">
        <v>16</v>
      </c>
      <c r="AT60" s="92"/>
      <c r="AU60" s="93" t="s">
        <v>16</v>
      </c>
      <c r="AV60" s="88" t="s">
        <v>16</v>
      </c>
      <c r="AW60" s="89" t="s">
        <v>16</v>
      </c>
      <c r="AX60" s="87"/>
      <c r="AY60" s="89" t="s">
        <v>16</v>
      </c>
      <c r="AZ60" s="90"/>
      <c r="BA60" s="87"/>
      <c r="BB60" s="89" t="s">
        <v>16</v>
      </c>
      <c r="BC60" s="87"/>
      <c r="BD60" s="91" t="s">
        <v>16</v>
      </c>
      <c r="BE60" s="86" t="s">
        <v>16</v>
      </c>
      <c r="BF60" s="90"/>
      <c r="BG60" s="90"/>
      <c r="BH60" s="87"/>
      <c r="BI60" s="88" t="s">
        <v>16</v>
      </c>
      <c r="BJ60" s="88" t="s">
        <v>16</v>
      </c>
      <c r="BK60" s="89" t="s">
        <v>16</v>
      </c>
      <c r="BL60" s="87"/>
      <c r="BM60" s="89" t="s">
        <v>16</v>
      </c>
      <c r="BN60" s="87"/>
      <c r="BO60" s="89" t="s">
        <v>16</v>
      </c>
      <c r="BP60" s="90"/>
      <c r="BQ60" s="90"/>
      <c r="BR60" s="92"/>
      <c r="BS60" s="94">
        <f t="shared" si="0"/>
        <v>0</v>
      </c>
      <c r="BT60" s="95"/>
      <c r="BU60" s="96"/>
      <c r="BV60" s="94">
        <f t="shared" si="1"/>
        <v>0</v>
      </c>
      <c r="BW60" s="95"/>
      <c r="BX60" s="95"/>
      <c r="BY60" s="96"/>
      <c r="BZ60" s="97"/>
      <c r="CA60" s="98"/>
      <c r="CB60" s="98"/>
      <c r="CC60" s="98"/>
      <c r="CD60" s="98"/>
      <c r="CE60" s="98"/>
      <c r="CF60" s="98"/>
      <c r="CG60" s="99"/>
    </row>
    <row r="61" spans="1:85">
      <c r="A61" s="80">
        <v>43</v>
      </c>
      <c r="B61" s="81"/>
      <c r="C61" s="81"/>
      <c r="D61" s="81"/>
      <c r="E61" s="81"/>
      <c r="F61" s="82"/>
      <c r="G61" s="83" t="str">
        <f>IFERROR(INDEX([1]INPUT_DATA_Learners!T:T,MATCH(#REF!,[1]INPUT_DATA_Learners!$A:$A,0)),"")</f>
        <v/>
      </c>
      <c r="H61" s="84"/>
      <c r="I61" s="84"/>
      <c r="J61" s="85"/>
      <c r="K61" s="86" t="s">
        <v>16</v>
      </c>
      <c r="L61" s="87"/>
      <c r="M61" s="88" t="s">
        <v>16</v>
      </c>
      <c r="N61" s="88" t="s">
        <v>16</v>
      </c>
      <c r="O61" s="89" t="s">
        <v>16</v>
      </c>
      <c r="P61" s="90"/>
      <c r="Q61" s="90"/>
      <c r="R61" s="87"/>
      <c r="S61" s="89" t="s">
        <v>16</v>
      </c>
      <c r="T61" s="90"/>
      <c r="U61" s="87"/>
      <c r="V61" s="91" t="s">
        <v>16</v>
      </c>
      <c r="W61" s="86" t="s">
        <v>16</v>
      </c>
      <c r="X61" s="90"/>
      <c r="Y61" s="87"/>
      <c r="Z61" s="88" t="s">
        <v>16</v>
      </c>
      <c r="AA61" s="88" t="s">
        <v>16</v>
      </c>
      <c r="AB61" s="89" t="s">
        <v>16</v>
      </c>
      <c r="AC61" s="90"/>
      <c r="AD61" s="87"/>
      <c r="AE61" s="89" t="s">
        <v>16</v>
      </c>
      <c r="AF61" s="90"/>
      <c r="AG61" s="87"/>
      <c r="AH61" s="91" t="s">
        <v>16</v>
      </c>
      <c r="AI61" s="86" t="s">
        <v>16</v>
      </c>
      <c r="AJ61" s="90"/>
      <c r="AK61" s="87"/>
      <c r="AL61" s="89" t="s">
        <v>16</v>
      </c>
      <c r="AM61" s="87"/>
      <c r="AN61" s="89" t="s">
        <v>16</v>
      </c>
      <c r="AO61" s="87"/>
      <c r="AP61" s="89" t="s">
        <v>16</v>
      </c>
      <c r="AQ61" s="87"/>
      <c r="AR61" s="88" t="s">
        <v>16</v>
      </c>
      <c r="AS61" s="89" t="s">
        <v>16</v>
      </c>
      <c r="AT61" s="92"/>
      <c r="AU61" s="93" t="s">
        <v>16</v>
      </c>
      <c r="AV61" s="88" t="s">
        <v>16</v>
      </c>
      <c r="AW61" s="89" t="s">
        <v>16</v>
      </c>
      <c r="AX61" s="87"/>
      <c r="AY61" s="89" t="s">
        <v>16</v>
      </c>
      <c r="AZ61" s="90"/>
      <c r="BA61" s="87"/>
      <c r="BB61" s="89" t="s">
        <v>16</v>
      </c>
      <c r="BC61" s="87"/>
      <c r="BD61" s="91" t="s">
        <v>16</v>
      </c>
      <c r="BE61" s="86" t="s">
        <v>16</v>
      </c>
      <c r="BF61" s="90"/>
      <c r="BG61" s="90"/>
      <c r="BH61" s="87"/>
      <c r="BI61" s="88" t="s">
        <v>16</v>
      </c>
      <c r="BJ61" s="88" t="s">
        <v>16</v>
      </c>
      <c r="BK61" s="89" t="s">
        <v>16</v>
      </c>
      <c r="BL61" s="87"/>
      <c r="BM61" s="89" t="s">
        <v>16</v>
      </c>
      <c r="BN61" s="87"/>
      <c r="BO61" s="89" t="s">
        <v>16</v>
      </c>
      <c r="BP61" s="90"/>
      <c r="BQ61" s="90"/>
      <c r="BR61" s="92"/>
      <c r="BS61" s="94">
        <f t="shared" si="0"/>
        <v>0</v>
      </c>
      <c r="BT61" s="95"/>
      <c r="BU61" s="96"/>
      <c r="BV61" s="94">
        <f t="shared" si="1"/>
        <v>0</v>
      </c>
      <c r="BW61" s="95"/>
      <c r="BX61" s="95"/>
      <c r="BY61" s="96"/>
      <c r="BZ61" s="97"/>
      <c r="CA61" s="98"/>
      <c r="CB61" s="98"/>
      <c r="CC61" s="98"/>
      <c r="CD61" s="98"/>
      <c r="CE61" s="98"/>
      <c r="CF61" s="98"/>
      <c r="CG61" s="99"/>
    </row>
    <row r="62" spans="1:85">
      <c r="A62" s="80">
        <v>44</v>
      </c>
      <c r="B62" s="81"/>
      <c r="C62" s="81"/>
      <c r="D62" s="81"/>
      <c r="E62" s="81"/>
      <c r="F62" s="82"/>
      <c r="G62" s="83" t="str">
        <f>IFERROR(INDEX([1]INPUT_DATA_Learners!T:T,MATCH(#REF!,[1]INPUT_DATA_Learners!$A:$A,0)),"")</f>
        <v/>
      </c>
      <c r="H62" s="84"/>
      <c r="I62" s="84"/>
      <c r="J62" s="85"/>
      <c r="K62" s="86" t="s">
        <v>16</v>
      </c>
      <c r="L62" s="87"/>
      <c r="M62" s="88" t="s">
        <v>16</v>
      </c>
      <c r="N62" s="88" t="s">
        <v>16</v>
      </c>
      <c r="O62" s="89" t="s">
        <v>16</v>
      </c>
      <c r="P62" s="90"/>
      <c r="Q62" s="90"/>
      <c r="R62" s="87"/>
      <c r="S62" s="89" t="s">
        <v>16</v>
      </c>
      <c r="T62" s="90"/>
      <c r="U62" s="87"/>
      <c r="V62" s="91" t="s">
        <v>16</v>
      </c>
      <c r="W62" s="86" t="s">
        <v>16</v>
      </c>
      <c r="X62" s="90"/>
      <c r="Y62" s="87"/>
      <c r="Z62" s="88" t="s">
        <v>16</v>
      </c>
      <c r="AA62" s="88" t="s">
        <v>16</v>
      </c>
      <c r="AB62" s="89" t="s">
        <v>16</v>
      </c>
      <c r="AC62" s="90"/>
      <c r="AD62" s="87"/>
      <c r="AE62" s="89" t="s">
        <v>16</v>
      </c>
      <c r="AF62" s="90"/>
      <c r="AG62" s="87"/>
      <c r="AH62" s="91" t="s">
        <v>16</v>
      </c>
      <c r="AI62" s="86" t="s">
        <v>16</v>
      </c>
      <c r="AJ62" s="90"/>
      <c r="AK62" s="87"/>
      <c r="AL62" s="89" t="s">
        <v>16</v>
      </c>
      <c r="AM62" s="87"/>
      <c r="AN62" s="89" t="s">
        <v>16</v>
      </c>
      <c r="AO62" s="87"/>
      <c r="AP62" s="89" t="s">
        <v>16</v>
      </c>
      <c r="AQ62" s="87"/>
      <c r="AR62" s="88" t="s">
        <v>16</v>
      </c>
      <c r="AS62" s="89" t="s">
        <v>16</v>
      </c>
      <c r="AT62" s="92"/>
      <c r="AU62" s="93" t="s">
        <v>16</v>
      </c>
      <c r="AV62" s="88" t="s">
        <v>16</v>
      </c>
      <c r="AW62" s="89" t="s">
        <v>16</v>
      </c>
      <c r="AX62" s="87"/>
      <c r="AY62" s="89" t="s">
        <v>16</v>
      </c>
      <c r="AZ62" s="90"/>
      <c r="BA62" s="87"/>
      <c r="BB62" s="89" t="s">
        <v>16</v>
      </c>
      <c r="BC62" s="87"/>
      <c r="BD62" s="91" t="s">
        <v>16</v>
      </c>
      <c r="BE62" s="86" t="s">
        <v>16</v>
      </c>
      <c r="BF62" s="90"/>
      <c r="BG62" s="90"/>
      <c r="BH62" s="87"/>
      <c r="BI62" s="88" t="s">
        <v>16</v>
      </c>
      <c r="BJ62" s="88" t="s">
        <v>16</v>
      </c>
      <c r="BK62" s="89" t="s">
        <v>16</v>
      </c>
      <c r="BL62" s="87"/>
      <c r="BM62" s="89" t="s">
        <v>16</v>
      </c>
      <c r="BN62" s="87"/>
      <c r="BO62" s="89" t="s">
        <v>16</v>
      </c>
      <c r="BP62" s="90"/>
      <c r="BQ62" s="90"/>
      <c r="BR62" s="92"/>
      <c r="BS62" s="94">
        <f t="shared" si="0"/>
        <v>0</v>
      </c>
      <c r="BT62" s="95"/>
      <c r="BU62" s="96"/>
      <c r="BV62" s="94">
        <f t="shared" si="1"/>
        <v>0</v>
      </c>
      <c r="BW62" s="95"/>
      <c r="BX62" s="95"/>
      <c r="BY62" s="96"/>
      <c r="BZ62" s="97"/>
      <c r="CA62" s="98"/>
      <c r="CB62" s="98"/>
      <c r="CC62" s="98"/>
      <c r="CD62" s="98"/>
      <c r="CE62" s="98"/>
      <c r="CF62" s="98"/>
      <c r="CG62" s="99"/>
    </row>
    <row r="63" spans="1:85">
      <c r="A63" s="80">
        <v>45</v>
      </c>
      <c r="B63" s="81"/>
      <c r="C63" s="81"/>
      <c r="D63" s="81"/>
      <c r="E63" s="81"/>
      <c r="F63" s="82"/>
      <c r="G63" s="83" t="str">
        <f>IFERROR(INDEX([1]INPUT_DATA_Learners!T:T,MATCH(#REF!,[1]INPUT_DATA_Learners!$A:$A,0)),"")</f>
        <v/>
      </c>
      <c r="H63" s="84"/>
      <c r="I63" s="84"/>
      <c r="J63" s="85"/>
      <c r="K63" s="86" t="s">
        <v>16</v>
      </c>
      <c r="L63" s="87"/>
      <c r="M63" s="88" t="s">
        <v>16</v>
      </c>
      <c r="N63" s="88" t="s">
        <v>16</v>
      </c>
      <c r="O63" s="89" t="s">
        <v>16</v>
      </c>
      <c r="P63" s="90"/>
      <c r="Q63" s="90"/>
      <c r="R63" s="87"/>
      <c r="S63" s="89" t="s">
        <v>16</v>
      </c>
      <c r="T63" s="90"/>
      <c r="U63" s="87"/>
      <c r="V63" s="91" t="s">
        <v>16</v>
      </c>
      <c r="W63" s="86" t="s">
        <v>16</v>
      </c>
      <c r="X63" s="90"/>
      <c r="Y63" s="87"/>
      <c r="Z63" s="88" t="s">
        <v>16</v>
      </c>
      <c r="AA63" s="88" t="s">
        <v>16</v>
      </c>
      <c r="AB63" s="89" t="s">
        <v>16</v>
      </c>
      <c r="AC63" s="90"/>
      <c r="AD63" s="87"/>
      <c r="AE63" s="89" t="s">
        <v>16</v>
      </c>
      <c r="AF63" s="90"/>
      <c r="AG63" s="87"/>
      <c r="AH63" s="91" t="s">
        <v>16</v>
      </c>
      <c r="AI63" s="86" t="s">
        <v>16</v>
      </c>
      <c r="AJ63" s="90"/>
      <c r="AK63" s="87"/>
      <c r="AL63" s="89" t="s">
        <v>16</v>
      </c>
      <c r="AM63" s="87"/>
      <c r="AN63" s="89" t="s">
        <v>16</v>
      </c>
      <c r="AO63" s="87"/>
      <c r="AP63" s="89" t="s">
        <v>16</v>
      </c>
      <c r="AQ63" s="87"/>
      <c r="AR63" s="88" t="s">
        <v>16</v>
      </c>
      <c r="AS63" s="89" t="s">
        <v>16</v>
      </c>
      <c r="AT63" s="92"/>
      <c r="AU63" s="93" t="s">
        <v>16</v>
      </c>
      <c r="AV63" s="88" t="s">
        <v>16</v>
      </c>
      <c r="AW63" s="89" t="s">
        <v>16</v>
      </c>
      <c r="AX63" s="87"/>
      <c r="AY63" s="89" t="s">
        <v>16</v>
      </c>
      <c r="AZ63" s="90"/>
      <c r="BA63" s="87"/>
      <c r="BB63" s="89" t="s">
        <v>16</v>
      </c>
      <c r="BC63" s="87"/>
      <c r="BD63" s="91" t="s">
        <v>16</v>
      </c>
      <c r="BE63" s="86" t="s">
        <v>16</v>
      </c>
      <c r="BF63" s="90"/>
      <c r="BG63" s="90"/>
      <c r="BH63" s="87"/>
      <c r="BI63" s="88" t="s">
        <v>16</v>
      </c>
      <c r="BJ63" s="88" t="s">
        <v>16</v>
      </c>
      <c r="BK63" s="89" t="s">
        <v>16</v>
      </c>
      <c r="BL63" s="87"/>
      <c r="BM63" s="89" t="s">
        <v>16</v>
      </c>
      <c r="BN63" s="87"/>
      <c r="BO63" s="89" t="s">
        <v>16</v>
      </c>
      <c r="BP63" s="90"/>
      <c r="BQ63" s="90"/>
      <c r="BR63" s="92"/>
      <c r="BS63" s="94">
        <f t="shared" si="0"/>
        <v>0</v>
      </c>
      <c r="BT63" s="95"/>
      <c r="BU63" s="96"/>
      <c r="BV63" s="94">
        <f t="shared" si="1"/>
        <v>0</v>
      </c>
      <c r="BW63" s="95"/>
      <c r="BX63" s="95"/>
      <c r="BY63" s="96"/>
      <c r="BZ63" s="97"/>
      <c r="CA63" s="98"/>
      <c r="CB63" s="98"/>
      <c r="CC63" s="98"/>
      <c r="CD63" s="98"/>
      <c r="CE63" s="98"/>
      <c r="CF63" s="98"/>
      <c r="CG63" s="99"/>
    </row>
    <row r="64" spans="1:85">
      <c r="A64" s="80">
        <v>46</v>
      </c>
      <c r="B64" s="81"/>
      <c r="C64" s="81"/>
      <c r="D64" s="81"/>
      <c r="E64" s="81"/>
      <c r="F64" s="82"/>
      <c r="G64" s="83" t="str">
        <f>IFERROR(INDEX([1]INPUT_DATA_Learners!T:T,MATCH(#REF!,[1]INPUT_DATA_Learners!$A:$A,0)),"")</f>
        <v/>
      </c>
      <c r="H64" s="84"/>
      <c r="I64" s="84"/>
      <c r="J64" s="85"/>
      <c r="K64" s="86" t="s">
        <v>16</v>
      </c>
      <c r="L64" s="87"/>
      <c r="M64" s="88" t="s">
        <v>16</v>
      </c>
      <c r="N64" s="88" t="s">
        <v>16</v>
      </c>
      <c r="O64" s="89" t="s">
        <v>16</v>
      </c>
      <c r="P64" s="90"/>
      <c r="Q64" s="90"/>
      <c r="R64" s="87"/>
      <c r="S64" s="89" t="s">
        <v>16</v>
      </c>
      <c r="T64" s="90"/>
      <c r="U64" s="87"/>
      <c r="V64" s="91" t="s">
        <v>16</v>
      </c>
      <c r="W64" s="86" t="s">
        <v>16</v>
      </c>
      <c r="X64" s="90"/>
      <c r="Y64" s="87"/>
      <c r="Z64" s="88" t="s">
        <v>16</v>
      </c>
      <c r="AA64" s="88" t="s">
        <v>16</v>
      </c>
      <c r="AB64" s="89" t="s">
        <v>16</v>
      </c>
      <c r="AC64" s="90"/>
      <c r="AD64" s="87"/>
      <c r="AE64" s="89" t="s">
        <v>16</v>
      </c>
      <c r="AF64" s="90"/>
      <c r="AG64" s="87"/>
      <c r="AH64" s="91" t="s">
        <v>16</v>
      </c>
      <c r="AI64" s="86" t="s">
        <v>16</v>
      </c>
      <c r="AJ64" s="90"/>
      <c r="AK64" s="87"/>
      <c r="AL64" s="89" t="s">
        <v>16</v>
      </c>
      <c r="AM64" s="87"/>
      <c r="AN64" s="89" t="s">
        <v>16</v>
      </c>
      <c r="AO64" s="87"/>
      <c r="AP64" s="89" t="s">
        <v>16</v>
      </c>
      <c r="AQ64" s="87"/>
      <c r="AR64" s="88" t="s">
        <v>16</v>
      </c>
      <c r="AS64" s="89" t="s">
        <v>16</v>
      </c>
      <c r="AT64" s="92"/>
      <c r="AU64" s="93" t="s">
        <v>16</v>
      </c>
      <c r="AV64" s="88" t="s">
        <v>16</v>
      </c>
      <c r="AW64" s="89" t="s">
        <v>16</v>
      </c>
      <c r="AX64" s="87"/>
      <c r="AY64" s="89" t="s">
        <v>16</v>
      </c>
      <c r="AZ64" s="90"/>
      <c r="BA64" s="87"/>
      <c r="BB64" s="89" t="s">
        <v>16</v>
      </c>
      <c r="BC64" s="87"/>
      <c r="BD64" s="91" t="s">
        <v>16</v>
      </c>
      <c r="BE64" s="86" t="s">
        <v>16</v>
      </c>
      <c r="BF64" s="90"/>
      <c r="BG64" s="90"/>
      <c r="BH64" s="87"/>
      <c r="BI64" s="88" t="s">
        <v>16</v>
      </c>
      <c r="BJ64" s="88" t="s">
        <v>16</v>
      </c>
      <c r="BK64" s="89" t="s">
        <v>16</v>
      </c>
      <c r="BL64" s="87"/>
      <c r="BM64" s="89" t="s">
        <v>16</v>
      </c>
      <c r="BN64" s="87"/>
      <c r="BO64" s="89" t="s">
        <v>16</v>
      </c>
      <c r="BP64" s="90"/>
      <c r="BQ64" s="90"/>
      <c r="BR64" s="92"/>
      <c r="BS64" s="94">
        <f t="shared" si="0"/>
        <v>0</v>
      </c>
      <c r="BT64" s="95"/>
      <c r="BU64" s="96"/>
      <c r="BV64" s="94">
        <f t="shared" si="1"/>
        <v>0</v>
      </c>
      <c r="BW64" s="95"/>
      <c r="BX64" s="95"/>
      <c r="BY64" s="96"/>
      <c r="BZ64" s="97"/>
      <c r="CA64" s="98"/>
      <c r="CB64" s="98"/>
      <c r="CC64" s="98"/>
      <c r="CD64" s="98"/>
      <c r="CE64" s="98"/>
      <c r="CF64" s="98"/>
      <c r="CG64" s="99"/>
    </row>
    <row r="65" spans="1:85">
      <c r="A65" s="80">
        <v>47</v>
      </c>
      <c r="B65" s="81"/>
      <c r="C65" s="81"/>
      <c r="D65" s="81"/>
      <c r="E65" s="81"/>
      <c r="F65" s="82"/>
      <c r="G65" s="83" t="str">
        <f>IFERROR(INDEX([1]INPUT_DATA_Learners!T:T,MATCH(#REF!,[1]INPUT_DATA_Learners!$A:$A,0)),"")</f>
        <v/>
      </c>
      <c r="H65" s="84"/>
      <c r="I65" s="84"/>
      <c r="J65" s="85"/>
      <c r="K65" s="86" t="s">
        <v>16</v>
      </c>
      <c r="L65" s="87"/>
      <c r="M65" s="88" t="s">
        <v>16</v>
      </c>
      <c r="N65" s="88" t="s">
        <v>16</v>
      </c>
      <c r="O65" s="89" t="s">
        <v>16</v>
      </c>
      <c r="P65" s="90"/>
      <c r="Q65" s="90"/>
      <c r="R65" s="87"/>
      <c r="S65" s="89" t="s">
        <v>16</v>
      </c>
      <c r="T65" s="90"/>
      <c r="U65" s="87"/>
      <c r="V65" s="91" t="s">
        <v>16</v>
      </c>
      <c r="W65" s="86" t="s">
        <v>16</v>
      </c>
      <c r="X65" s="90"/>
      <c r="Y65" s="87"/>
      <c r="Z65" s="88" t="s">
        <v>16</v>
      </c>
      <c r="AA65" s="88" t="s">
        <v>16</v>
      </c>
      <c r="AB65" s="89" t="s">
        <v>16</v>
      </c>
      <c r="AC65" s="90"/>
      <c r="AD65" s="87"/>
      <c r="AE65" s="89" t="s">
        <v>16</v>
      </c>
      <c r="AF65" s="90"/>
      <c r="AG65" s="87"/>
      <c r="AH65" s="91" t="s">
        <v>16</v>
      </c>
      <c r="AI65" s="86" t="s">
        <v>16</v>
      </c>
      <c r="AJ65" s="90"/>
      <c r="AK65" s="87"/>
      <c r="AL65" s="89" t="s">
        <v>16</v>
      </c>
      <c r="AM65" s="87"/>
      <c r="AN65" s="89" t="s">
        <v>16</v>
      </c>
      <c r="AO65" s="87"/>
      <c r="AP65" s="89" t="s">
        <v>16</v>
      </c>
      <c r="AQ65" s="87"/>
      <c r="AR65" s="88" t="s">
        <v>16</v>
      </c>
      <c r="AS65" s="89" t="s">
        <v>16</v>
      </c>
      <c r="AT65" s="92"/>
      <c r="AU65" s="93" t="s">
        <v>16</v>
      </c>
      <c r="AV65" s="88" t="s">
        <v>16</v>
      </c>
      <c r="AW65" s="89" t="s">
        <v>16</v>
      </c>
      <c r="AX65" s="87"/>
      <c r="AY65" s="89" t="s">
        <v>16</v>
      </c>
      <c r="AZ65" s="90"/>
      <c r="BA65" s="87"/>
      <c r="BB65" s="89" t="s">
        <v>16</v>
      </c>
      <c r="BC65" s="87"/>
      <c r="BD65" s="91" t="s">
        <v>16</v>
      </c>
      <c r="BE65" s="86" t="s">
        <v>16</v>
      </c>
      <c r="BF65" s="90"/>
      <c r="BG65" s="90"/>
      <c r="BH65" s="87"/>
      <c r="BI65" s="88" t="s">
        <v>16</v>
      </c>
      <c r="BJ65" s="88" t="s">
        <v>16</v>
      </c>
      <c r="BK65" s="89" t="s">
        <v>16</v>
      </c>
      <c r="BL65" s="87"/>
      <c r="BM65" s="89" t="s">
        <v>16</v>
      </c>
      <c r="BN65" s="87"/>
      <c r="BO65" s="89" t="s">
        <v>16</v>
      </c>
      <c r="BP65" s="90"/>
      <c r="BQ65" s="90"/>
      <c r="BR65" s="92"/>
      <c r="BS65" s="94">
        <f t="shared" si="0"/>
        <v>0</v>
      </c>
      <c r="BT65" s="95"/>
      <c r="BU65" s="96"/>
      <c r="BV65" s="94">
        <f t="shared" si="1"/>
        <v>0</v>
      </c>
      <c r="BW65" s="95"/>
      <c r="BX65" s="95"/>
      <c r="BY65" s="96"/>
      <c r="BZ65" s="97"/>
      <c r="CA65" s="98"/>
      <c r="CB65" s="98"/>
      <c r="CC65" s="98"/>
      <c r="CD65" s="98"/>
      <c r="CE65" s="98"/>
      <c r="CF65" s="98"/>
      <c r="CG65" s="99"/>
    </row>
    <row r="66" spans="1:85">
      <c r="A66" s="80">
        <v>48</v>
      </c>
      <c r="B66" s="81"/>
      <c r="C66" s="81"/>
      <c r="D66" s="81"/>
      <c r="E66" s="81"/>
      <c r="F66" s="82"/>
      <c r="G66" s="83" t="str">
        <f>IFERROR(INDEX([1]INPUT_DATA_Learners!T:T,MATCH(#REF!,[1]INPUT_DATA_Learners!$A:$A,0)),"")</f>
        <v/>
      </c>
      <c r="H66" s="84"/>
      <c r="I66" s="84"/>
      <c r="J66" s="85"/>
      <c r="K66" s="86" t="s">
        <v>16</v>
      </c>
      <c r="L66" s="87"/>
      <c r="M66" s="88" t="s">
        <v>16</v>
      </c>
      <c r="N66" s="88" t="s">
        <v>16</v>
      </c>
      <c r="O66" s="89" t="s">
        <v>16</v>
      </c>
      <c r="P66" s="90"/>
      <c r="Q66" s="90"/>
      <c r="R66" s="87"/>
      <c r="S66" s="89" t="s">
        <v>16</v>
      </c>
      <c r="T66" s="90"/>
      <c r="U66" s="87"/>
      <c r="V66" s="91" t="s">
        <v>16</v>
      </c>
      <c r="W66" s="86" t="s">
        <v>16</v>
      </c>
      <c r="X66" s="90"/>
      <c r="Y66" s="87"/>
      <c r="Z66" s="88" t="s">
        <v>16</v>
      </c>
      <c r="AA66" s="88" t="s">
        <v>16</v>
      </c>
      <c r="AB66" s="89" t="s">
        <v>16</v>
      </c>
      <c r="AC66" s="90"/>
      <c r="AD66" s="87"/>
      <c r="AE66" s="89" t="s">
        <v>16</v>
      </c>
      <c r="AF66" s="90"/>
      <c r="AG66" s="87"/>
      <c r="AH66" s="91" t="s">
        <v>16</v>
      </c>
      <c r="AI66" s="86" t="s">
        <v>16</v>
      </c>
      <c r="AJ66" s="90"/>
      <c r="AK66" s="87"/>
      <c r="AL66" s="89" t="s">
        <v>16</v>
      </c>
      <c r="AM66" s="87"/>
      <c r="AN66" s="89" t="s">
        <v>16</v>
      </c>
      <c r="AO66" s="87"/>
      <c r="AP66" s="89" t="s">
        <v>16</v>
      </c>
      <c r="AQ66" s="87"/>
      <c r="AR66" s="88" t="s">
        <v>16</v>
      </c>
      <c r="AS66" s="89" t="s">
        <v>16</v>
      </c>
      <c r="AT66" s="92"/>
      <c r="AU66" s="93" t="s">
        <v>16</v>
      </c>
      <c r="AV66" s="88" t="s">
        <v>16</v>
      </c>
      <c r="AW66" s="89" t="s">
        <v>16</v>
      </c>
      <c r="AX66" s="87"/>
      <c r="AY66" s="89" t="s">
        <v>16</v>
      </c>
      <c r="AZ66" s="90"/>
      <c r="BA66" s="87"/>
      <c r="BB66" s="89" t="s">
        <v>16</v>
      </c>
      <c r="BC66" s="87"/>
      <c r="BD66" s="91" t="s">
        <v>16</v>
      </c>
      <c r="BE66" s="86" t="s">
        <v>16</v>
      </c>
      <c r="BF66" s="90"/>
      <c r="BG66" s="90"/>
      <c r="BH66" s="87"/>
      <c r="BI66" s="88" t="s">
        <v>16</v>
      </c>
      <c r="BJ66" s="88" t="s">
        <v>16</v>
      </c>
      <c r="BK66" s="89" t="s">
        <v>16</v>
      </c>
      <c r="BL66" s="87"/>
      <c r="BM66" s="89" t="s">
        <v>16</v>
      </c>
      <c r="BN66" s="87"/>
      <c r="BO66" s="89" t="s">
        <v>16</v>
      </c>
      <c r="BP66" s="90"/>
      <c r="BQ66" s="90"/>
      <c r="BR66" s="92"/>
      <c r="BS66" s="94">
        <f t="shared" si="0"/>
        <v>0</v>
      </c>
      <c r="BT66" s="95"/>
      <c r="BU66" s="96"/>
      <c r="BV66" s="94">
        <f t="shared" si="1"/>
        <v>0</v>
      </c>
      <c r="BW66" s="95"/>
      <c r="BX66" s="95"/>
      <c r="BY66" s="96"/>
      <c r="BZ66" s="97"/>
      <c r="CA66" s="98"/>
      <c r="CB66" s="98"/>
      <c r="CC66" s="98"/>
      <c r="CD66" s="98"/>
      <c r="CE66" s="98"/>
      <c r="CF66" s="98"/>
      <c r="CG66" s="99"/>
    </row>
    <row r="67" spans="1:85">
      <c r="A67" s="80">
        <v>49</v>
      </c>
      <c r="B67" s="81"/>
      <c r="C67" s="81"/>
      <c r="D67" s="81"/>
      <c r="E67" s="81"/>
      <c r="F67" s="82"/>
      <c r="G67" s="83" t="str">
        <f>IFERROR(INDEX([1]INPUT_DATA_Learners!T:T,MATCH(#REF!,[1]INPUT_DATA_Learners!$A:$A,0)),"")</f>
        <v/>
      </c>
      <c r="H67" s="84"/>
      <c r="I67" s="84"/>
      <c r="J67" s="85"/>
      <c r="K67" s="86" t="s">
        <v>16</v>
      </c>
      <c r="L67" s="87"/>
      <c r="M67" s="88" t="s">
        <v>16</v>
      </c>
      <c r="N67" s="88" t="s">
        <v>16</v>
      </c>
      <c r="O67" s="89" t="s">
        <v>16</v>
      </c>
      <c r="P67" s="90"/>
      <c r="Q67" s="90"/>
      <c r="R67" s="87"/>
      <c r="S67" s="89" t="s">
        <v>16</v>
      </c>
      <c r="T67" s="90"/>
      <c r="U67" s="87"/>
      <c r="V67" s="91" t="s">
        <v>16</v>
      </c>
      <c r="W67" s="86" t="s">
        <v>16</v>
      </c>
      <c r="X67" s="90"/>
      <c r="Y67" s="87"/>
      <c r="Z67" s="88" t="s">
        <v>16</v>
      </c>
      <c r="AA67" s="88" t="s">
        <v>16</v>
      </c>
      <c r="AB67" s="89" t="s">
        <v>16</v>
      </c>
      <c r="AC67" s="90"/>
      <c r="AD67" s="87"/>
      <c r="AE67" s="89" t="s">
        <v>16</v>
      </c>
      <c r="AF67" s="90"/>
      <c r="AG67" s="87"/>
      <c r="AH67" s="91" t="s">
        <v>16</v>
      </c>
      <c r="AI67" s="86" t="s">
        <v>16</v>
      </c>
      <c r="AJ67" s="90"/>
      <c r="AK67" s="87"/>
      <c r="AL67" s="89" t="s">
        <v>16</v>
      </c>
      <c r="AM67" s="87"/>
      <c r="AN67" s="89" t="s">
        <v>16</v>
      </c>
      <c r="AO67" s="87"/>
      <c r="AP67" s="89" t="s">
        <v>16</v>
      </c>
      <c r="AQ67" s="87"/>
      <c r="AR67" s="88" t="s">
        <v>16</v>
      </c>
      <c r="AS67" s="89" t="s">
        <v>16</v>
      </c>
      <c r="AT67" s="92"/>
      <c r="AU67" s="93" t="s">
        <v>16</v>
      </c>
      <c r="AV67" s="88" t="s">
        <v>16</v>
      </c>
      <c r="AW67" s="89" t="s">
        <v>16</v>
      </c>
      <c r="AX67" s="87"/>
      <c r="AY67" s="89" t="s">
        <v>16</v>
      </c>
      <c r="AZ67" s="90"/>
      <c r="BA67" s="87"/>
      <c r="BB67" s="89" t="s">
        <v>16</v>
      </c>
      <c r="BC67" s="87"/>
      <c r="BD67" s="91" t="s">
        <v>16</v>
      </c>
      <c r="BE67" s="86" t="s">
        <v>16</v>
      </c>
      <c r="BF67" s="90"/>
      <c r="BG67" s="90"/>
      <c r="BH67" s="87"/>
      <c r="BI67" s="88" t="s">
        <v>16</v>
      </c>
      <c r="BJ67" s="88" t="s">
        <v>16</v>
      </c>
      <c r="BK67" s="89" t="s">
        <v>16</v>
      </c>
      <c r="BL67" s="87"/>
      <c r="BM67" s="89" t="s">
        <v>16</v>
      </c>
      <c r="BN67" s="87"/>
      <c r="BO67" s="89" t="s">
        <v>16</v>
      </c>
      <c r="BP67" s="90"/>
      <c r="BQ67" s="90"/>
      <c r="BR67" s="92"/>
      <c r="BS67" s="94">
        <f t="shared" si="0"/>
        <v>0</v>
      </c>
      <c r="BT67" s="95"/>
      <c r="BU67" s="96"/>
      <c r="BV67" s="94">
        <f t="shared" si="1"/>
        <v>0</v>
      </c>
      <c r="BW67" s="95"/>
      <c r="BX67" s="95"/>
      <c r="BY67" s="96"/>
      <c r="BZ67" s="97"/>
      <c r="CA67" s="98"/>
      <c r="CB67" s="98"/>
      <c r="CC67" s="98"/>
      <c r="CD67" s="98"/>
      <c r="CE67" s="98"/>
      <c r="CF67" s="98"/>
      <c r="CG67" s="99"/>
    </row>
    <row r="68" spans="1:85">
      <c r="A68" s="80">
        <v>50</v>
      </c>
      <c r="B68" s="81"/>
      <c r="C68" s="81"/>
      <c r="D68" s="81"/>
      <c r="E68" s="81"/>
      <c r="F68" s="82"/>
      <c r="G68" s="83" t="str">
        <f>IFERROR(INDEX([1]INPUT_DATA_Learners!T:T,MATCH(#REF!,[1]INPUT_DATA_Learners!$A:$A,0)),"")</f>
        <v/>
      </c>
      <c r="H68" s="84"/>
      <c r="I68" s="84"/>
      <c r="J68" s="85"/>
      <c r="K68" s="86" t="s">
        <v>16</v>
      </c>
      <c r="L68" s="87"/>
      <c r="M68" s="88" t="s">
        <v>16</v>
      </c>
      <c r="N68" s="88" t="s">
        <v>16</v>
      </c>
      <c r="O68" s="89" t="s">
        <v>16</v>
      </c>
      <c r="P68" s="90"/>
      <c r="Q68" s="90"/>
      <c r="R68" s="87"/>
      <c r="S68" s="89" t="s">
        <v>16</v>
      </c>
      <c r="T68" s="90"/>
      <c r="U68" s="87"/>
      <c r="V68" s="91" t="s">
        <v>16</v>
      </c>
      <c r="W68" s="86" t="s">
        <v>16</v>
      </c>
      <c r="X68" s="90"/>
      <c r="Y68" s="87"/>
      <c r="Z68" s="88" t="s">
        <v>16</v>
      </c>
      <c r="AA68" s="88" t="s">
        <v>16</v>
      </c>
      <c r="AB68" s="89" t="s">
        <v>16</v>
      </c>
      <c r="AC68" s="90"/>
      <c r="AD68" s="87"/>
      <c r="AE68" s="89" t="s">
        <v>16</v>
      </c>
      <c r="AF68" s="90"/>
      <c r="AG68" s="87"/>
      <c r="AH68" s="91" t="s">
        <v>16</v>
      </c>
      <c r="AI68" s="86" t="s">
        <v>16</v>
      </c>
      <c r="AJ68" s="90"/>
      <c r="AK68" s="87"/>
      <c r="AL68" s="89" t="s">
        <v>16</v>
      </c>
      <c r="AM68" s="87"/>
      <c r="AN68" s="89" t="s">
        <v>16</v>
      </c>
      <c r="AO68" s="87"/>
      <c r="AP68" s="89" t="s">
        <v>16</v>
      </c>
      <c r="AQ68" s="87"/>
      <c r="AR68" s="88" t="s">
        <v>16</v>
      </c>
      <c r="AS68" s="89" t="s">
        <v>16</v>
      </c>
      <c r="AT68" s="92"/>
      <c r="AU68" s="93" t="s">
        <v>16</v>
      </c>
      <c r="AV68" s="88" t="s">
        <v>16</v>
      </c>
      <c r="AW68" s="89" t="s">
        <v>16</v>
      </c>
      <c r="AX68" s="87"/>
      <c r="AY68" s="89" t="s">
        <v>16</v>
      </c>
      <c r="AZ68" s="90"/>
      <c r="BA68" s="87"/>
      <c r="BB68" s="89" t="s">
        <v>16</v>
      </c>
      <c r="BC68" s="87"/>
      <c r="BD68" s="91" t="s">
        <v>16</v>
      </c>
      <c r="BE68" s="86" t="s">
        <v>16</v>
      </c>
      <c r="BF68" s="90"/>
      <c r="BG68" s="90"/>
      <c r="BH68" s="87"/>
      <c r="BI68" s="88" t="s">
        <v>16</v>
      </c>
      <c r="BJ68" s="88" t="s">
        <v>16</v>
      </c>
      <c r="BK68" s="89" t="s">
        <v>16</v>
      </c>
      <c r="BL68" s="87"/>
      <c r="BM68" s="89" t="s">
        <v>16</v>
      </c>
      <c r="BN68" s="87"/>
      <c r="BO68" s="89" t="s">
        <v>16</v>
      </c>
      <c r="BP68" s="90"/>
      <c r="BQ68" s="90"/>
      <c r="BR68" s="92"/>
      <c r="BS68" s="94">
        <f t="shared" si="0"/>
        <v>0</v>
      </c>
      <c r="BT68" s="95"/>
      <c r="BU68" s="96"/>
      <c r="BV68" s="94">
        <f t="shared" si="1"/>
        <v>0</v>
      </c>
      <c r="BW68" s="95"/>
      <c r="BX68" s="95"/>
      <c r="BY68" s="96"/>
      <c r="BZ68" s="97"/>
      <c r="CA68" s="98"/>
      <c r="CB68" s="98"/>
      <c r="CC68" s="98"/>
      <c r="CD68" s="98"/>
      <c r="CE68" s="98"/>
      <c r="CF68" s="98"/>
      <c r="CG68" s="99"/>
    </row>
    <row r="69" spans="1:85">
      <c r="A69" s="80">
        <v>51</v>
      </c>
      <c r="B69" s="81"/>
      <c r="C69" s="81"/>
      <c r="D69" s="81"/>
      <c r="E69" s="81"/>
      <c r="F69" s="82"/>
      <c r="G69" s="83" t="str">
        <f>IFERROR(INDEX([1]INPUT_DATA_Learners!T:T,MATCH(#REF!,[1]INPUT_DATA_Learners!$A:$A,0)),"")</f>
        <v/>
      </c>
      <c r="H69" s="84"/>
      <c r="I69" s="84"/>
      <c r="J69" s="85"/>
      <c r="K69" s="86" t="s">
        <v>16</v>
      </c>
      <c r="L69" s="87"/>
      <c r="M69" s="88" t="s">
        <v>16</v>
      </c>
      <c r="N69" s="88" t="s">
        <v>16</v>
      </c>
      <c r="O69" s="89" t="s">
        <v>16</v>
      </c>
      <c r="P69" s="90"/>
      <c r="Q69" s="90"/>
      <c r="R69" s="87"/>
      <c r="S69" s="89" t="s">
        <v>16</v>
      </c>
      <c r="T69" s="90"/>
      <c r="U69" s="87"/>
      <c r="V69" s="91" t="s">
        <v>16</v>
      </c>
      <c r="W69" s="86" t="s">
        <v>16</v>
      </c>
      <c r="X69" s="90"/>
      <c r="Y69" s="87"/>
      <c r="Z69" s="88" t="s">
        <v>16</v>
      </c>
      <c r="AA69" s="88" t="s">
        <v>16</v>
      </c>
      <c r="AB69" s="89" t="s">
        <v>16</v>
      </c>
      <c r="AC69" s="90"/>
      <c r="AD69" s="87"/>
      <c r="AE69" s="89" t="s">
        <v>16</v>
      </c>
      <c r="AF69" s="90"/>
      <c r="AG69" s="87"/>
      <c r="AH69" s="91" t="s">
        <v>16</v>
      </c>
      <c r="AI69" s="86" t="s">
        <v>16</v>
      </c>
      <c r="AJ69" s="90"/>
      <c r="AK69" s="87"/>
      <c r="AL69" s="89" t="s">
        <v>16</v>
      </c>
      <c r="AM69" s="87"/>
      <c r="AN69" s="89" t="s">
        <v>16</v>
      </c>
      <c r="AO69" s="87"/>
      <c r="AP69" s="89" t="s">
        <v>16</v>
      </c>
      <c r="AQ69" s="87"/>
      <c r="AR69" s="88" t="s">
        <v>16</v>
      </c>
      <c r="AS69" s="89" t="s">
        <v>16</v>
      </c>
      <c r="AT69" s="92"/>
      <c r="AU69" s="93" t="s">
        <v>16</v>
      </c>
      <c r="AV69" s="88" t="s">
        <v>16</v>
      </c>
      <c r="AW69" s="89" t="s">
        <v>16</v>
      </c>
      <c r="AX69" s="87"/>
      <c r="AY69" s="89" t="s">
        <v>16</v>
      </c>
      <c r="AZ69" s="90"/>
      <c r="BA69" s="87"/>
      <c r="BB69" s="89" t="s">
        <v>16</v>
      </c>
      <c r="BC69" s="87"/>
      <c r="BD69" s="91" t="s">
        <v>16</v>
      </c>
      <c r="BE69" s="86" t="s">
        <v>16</v>
      </c>
      <c r="BF69" s="90"/>
      <c r="BG69" s="90"/>
      <c r="BH69" s="87"/>
      <c r="BI69" s="88" t="s">
        <v>16</v>
      </c>
      <c r="BJ69" s="88" t="s">
        <v>16</v>
      </c>
      <c r="BK69" s="89" t="s">
        <v>16</v>
      </c>
      <c r="BL69" s="87"/>
      <c r="BM69" s="89" t="s">
        <v>16</v>
      </c>
      <c r="BN69" s="87"/>
      <c r="BO69" s="89" t="s">
        <v>16</v>
      </c>
      <c r="BP69" s="90"/>
      <c r="BQ69" s="90"/>
      <c r="BR69" s="92"/>
      <c r="BS69" s="94">
        <f t="shared" si="0"/>
        <v>0</v>
      </c>
      <c r="BT69" s="95"/>
      <c r="BU69" s="96"/>
      <c r="BV69" s="94">
        <f t="shared" si="1"/>
        <v>0</v>
      </c>
      <c r="BW69" s="95"/>
      <c r="BX69" s="95"/>
      <c r="BY69" s="96"/>
      <c r="BZ69" s="97"/>
      <c r="CA69" s="98"/>
      <c r="CB69" s="98"/>
      <c r="CC69" s="98"/>
      <c r="CD69" s="98"/>
      <c r="CE69" s="98"/>
      <c r="CF69" s="98"/>
      <c r="CG69" s="99"/>
    </row>
    <row r="70" spans="1:85">
      <c r="A70" s="80">
        <v>52</v>
      </c>
      <c r="B70" s="81"/>
      <c r="C70" s="81"/>
      <c r="D70" s="81"/>
      <c r="E70" s="81"/>
      <c r="F70" s="82"/>
      <c r="G70" s="83" t="str">
        <f>IFERROR(INDEX([1]INPUT_DATA_Learners!T:T,MATCH(#REF!,[1]INPUT_DATA_Learners!$A:$A,0)),"")</f>
        <v/>
      </c>
      <c r="H70" s="84"/>
      <c r="I70" s="84"/>
      <c r="J70" s="85"/>
      <c r="K70" s="86" t="s">
        <v>16</v>
      </c>
      <c r="L70" s="87"/>
      <c r="M70" s="88" t="s">
        <v>16</v>
      </c>
      <c r="N70" s="88" t="s">
        <v>16</v>
      </c>
      <c r="O70" s="89" t="s">
        <v>16</v>
      </c>
      <c r="P70" s="90"/>
      <c r="Q70" s="90"/>
      <c r="R70" s="87"/>
      <c r="S70" s="89" t="s">
        <v>16</v>
      </c>
      <c r="T70" s="90"/>
      <c r="U70" s="87"/>
      <c r="V70" s="91" t="s">
        <v>16</v>
      </c>
      <c r="W70" s="86" t="s">
        <v>16</v>
      </c>
      <c r="X70" s="90"/>
      <c r="Y70" s="87"/>
      <c r="Z70" s="88" t="s">
        <v>16</v>
      </c>
      <c r="AA70" s="88" t="s">
        <v>16</v>
      </c>
      <c r="AB70" s="89" t="s">
        <v>16</v>
      </c>
      <c r="AC70" s="90"/>
      <c r="AD70" s="87"/>
      <c r="AE70" s="89" t="s">
        <v>16</v>
      </c>
      <c r="AF70" s="90"/>
      <c r="AG70" s="87"/>
      <c r="AH70" s="91" t="s">
        <v>16</v>
      </c>
      <c r="AI70" s="86" t="s">
        <v>16</v>
      </c>
      <c r="AJ70" s="90"/>
      <c r="AK70" s="87"/>
      <c r="AL70" s="89" t="s">
        <v>16</v>
      </c>
      <c r="AM70" s="87"/>
      <c r="AN70" s="89" t="s">
        <v>16</v>
      </c>
      <c r="AO70" s="87"/>
      <c r="AP70" s="89" t="s">
        <v>16</v>
      </c>
      <c r="AQ70" s="87"/>
      <c r="AR70" s="88" t="s">
        <v>16</v>
      </c>
      <c r="AS70" s="89" t="s">
        <v>16</v>
      </c>
      <c r="AT70" s="92"/>
      <c r="AU70" s="93" t="s">
        <v>16</v>
      </c>
      <c r="AV70" s="88" t="s">
        <v>16</v>
      </c>
      <c r="AW70" s="89" t="s">
        <v>16</v>
      </c>
      <c r="AX70" s="87"/>
      <c r="AY70" s="89" t="s">
        <v>16</v>
      </c>
      <c r="AZ70" s="90"/>
      <c r="BA70" s="87"/>
      <c r="BB70" s="89" t="s">
        <v>16</v>
      </c>
      <c r="BC70" s="87"/>
      <c r="BD70" s="91" t="s">
        <v>16</v>
      </c>
      <c r="BE70" s="86" t="s">
        <v>16</v>
      </c>
      <c r="BF70" s="90"/>
      <c r="BG70" s="90"/>
      <c r="BH70" s="87"/>
      <c r="BI70" s="88" t="s">
        <v>16</v>
      </c>
      <c r="BJ70" s="88" t="s">
        <v>16</v>
      </c>
      <c r="BK70" s="89" t="s">
        <v>16</v>
      </c>
      <c r="BL70" s="87"/>
      <c r="BM70" s="89" t="s">
        <v>16</v>
      </c>
      <c r="BN70" s="87"/>
      <c r="BO70" s="89" t="s">
        <v>16</v>
      </c>
      <c r="BP70" s="90"/>
      <c r="BQ70" s="90"/>
      <c r="BR70" s="92"/>
      <c r="BS70" s="94">
        <f t="shared" si="0"/>
        <v>0</v>
      </c>
      <c r="BT70" s="95"/>
      <c r="BU70" s="96"/>
      <c r="BV70" s="94">
        <f t="shared" si="1"/>
        <v>0</v>
      </c>
      <c r="BW70" s="95"/>
      <c r="BX70" s="95"/>
      <c r="BY70" s="96"/>
      <c r="BZ70" s="97"/>
      <c r="CA70" s="98"/>
      <c r="CB70" s="98"/>
      <c r="CC70" s="98"/>
      <c r="CD70" s="98"/>
      <c r="CE70" s="98"/>
      <c r="CF70" s="98"/>
      <c r="CG70" s="99"/>
    </row>
    <row r="71" spans="1:85">
      <c r="A71" s="80">
        <v>53</v>
      </c>
      <c r="B71" s="81"/>
      <c r="C71" s="81"/>
      <c r="D71" s="81"/>
      <c r="E71" s="81"/>
      <c r="F71" s="82"/>
      <c r="G71" s="83" t="str">
        <f>IFERROR(INDEX([1]INPUT_DATA_Learners!T:T,MATCH(#REF!,[1]INPUT_DATA_Learners!$A:$A,0)),"")</f>
        <v/>
      </c>
      <c r="H71" s="84"/>
      <c r="I71" s="84"/>
      <c r="J71" s="85"/>
      <c r="K71" s="86" t="s">
        <v>16</v>
      </c>
      <c r="L71" s="87"/>
      <c r="M71" s="88" t="s">
        <v>16</v>
      </c>
      <c r="N71" s="88" t="s">
        <v>16</v>
      </c>
      <c r="O71" s="89" t="s">
        <v>16</v>
      </c>
      <c r="P71" s="90"/>
      <c r="Q71" s="90"/>
      <c r="R71" s="87"/>
      <c r="S71" s="89" t="s">
        <v>16</v>
      </c>
      <c r="T71" s="90"/>
      <c r="U71" s="87"/>
      <c r="V71" s="91" t="s">
        <v>16</v>
      </c>
      <c r="W71" s="86" t="s">
        <v>16</v>
      </c>
      <c r="X71" s="90"/>
      <c r="Y71" s="87"/>
      <c r="Z71" s="88" t="s">
        <v>16</v>
      </c>
      <c r="AA71" s="88" t="s">
        <v>16</v>
      </c>
      <c r="AB71" s="89" t="s">
        <v>16</v>
      </c>
      <c r="AC71" s="90"/>
      <c r="AD71" s="87"/>
      <c r="AE71" s="89" t="s">
        <v>16</v>
      </c>
      <c r="AF71" s="90"/>
      <c r="AG71" s="87"/>
      <c r="AH71" s="91" t="s">
        <v>16</v>
      </c>
      <c r="AI71" s="86" t="s">
        <v>16</v>
      </c>
      <c r="AJ71" s="90"/>
      <c r="AK71" s="87"/>
      <c r="AL71" s="89" t="s">
        <v>16</v>
      </c>
      <c r="AM71" s="87"/>
      <c r="AN71" s="89" t="s">
        <v>16</v>
      </c>
      <c r="AO71" s="87"/>
      <c r="AP71" s="89" t="s">
        <v>16</v>
      </c>
      <c r="AQ71" s="87"/>
      <c r="AR71" s="88" t="s">
        <v>16</v>
      </c>
      <c r="AS71" s="89" t="s">
        <v>16</v>
      </c>
      <c r="AT71" s="92"/>
      <c r="AU71" s="93" t="s">
        <v>16</v>
      </c>
      <c r="AV71" s="88" t="s">
        <v>16</v>
      </c>
      <c r="AW71" s="89" t="s">
        <v>16</v>
      </c>
      <c r="AX71" s="87"/>
      <c r="AY71" s="89" t="s">
        <v>16</v>
      </c>
      <c r="AZ71" s="90"/>
      <c r="BA71" s="87"/>
      <c r="BB71" s="89" t="s">
        <v>16</v>
      </c>
      <c r="BC71" s="87"/>
      <c r="BD71" s="91" t="s">
        <v>16</v>
      </c>
      <c r="BE71" s="86" t="s">
        <v>16</v>
      </c>
      <c r="BF71" s="90"/>
      <c r="BG71" s="90"/>
      <c r="BH71" s="87"/>
      <c r="BI71" s="88" t="s">
        <v>16</v>
      </c>
      <c r="BJ71" s="88" t="s">
        <v>16</v>
      </c>
      <c r="BK71" s="89" t="s">
        <v>16</v>
      </c>
      <c r="BL71" s="87"/>
      <c r="BM71" s="89" t="s">
        <v>16</v>
      </c>
      <c r="BN71" s="87"/>
      <c r="BO71" s="89" t="s">
        <v>16</v>
      </c>
      <c r="BP71" s="90"/>
      <c r="BQ71" s="90"/>
      <c r="BR71" s="92"/>
      <c r="BS71" s="94">
        <f t="shared" si="0"/>
        <v>0</v>
      </c>
      <c r="BT71" s="95"/>
      <c r="BU71" s="96"/>
      <c r="BV71" s="94">
        <f t="shared" si="1"/>
        <v>0</v>
      </c>
      <c r="BW71" s="95"/>
      <c r="BX71" s="95"/>
      <c r="BY71" s="96"/>
      <c r="BZ71" s="97"/>
      <c r="CA71" s="98"/>
      <c r="CB71" s="98"/>
      <c r="CC71" s="98"/>
      <c r="CD71" s="98"/>
      <c r="CE71" s="98"/>
      <c r="CF71" s="98"/>
      <c r="CG71" s="99"/>
    </row>
    <row r="72" spans="1:85">
      <c r="A72" s="80">
        <v>54</v>
      </c>
      <c r="B72" s="81"/>
      <c r="C72" s="81"/>
      <c r="D72" s="81"/>
      <c r="E72" s="81"/>
      <c r="F72" s="82"/>
      <c r="G72" s="83" t="str">
        <f>IFERROR(INDEX([1]INPUT_DATA_Learners!T:T,MATCH(#REF!,[1]INPUT_DATA_Learners!$A:$A,0)),"")</f>
        <v/>
      </c>
      <c r="H72" s="84"/>
      <c r="I72" s="84"/>
      <c r="J72" s="85"/>
      <c r="K72" s="86" t="s">
        <v>16</v>
      </c>
      <c r="L72" s="87"/>
      <c r="M72" s="88" t="s">
        <v>16</v>
      </c>
      <c r="N72" s="88" t="s">
        <v>16</v>
      </c>
      <c r="O72" s="89" t="s">
        <v>16</v>
      </c>
      <c r="P72" s="90"/>
      <c r="Q72" s="90"/>
      <c r="R72" s="87"/>
      <c r="S72" s="89" t="s">
        <v>16</v>
      </c>
      <c r="T72" s="90"/>
      <c r="U72" s="87"/>
      <c r="V72" s="91" t="s">
        <v>16</v>
      </c>
      <c r="W72" s="86" t="s">
        <v>16</v>
      </c>
      <c r="X72" s="90"/>
      <c r="Y72" s="87"/>
      <c r="Z72" s="88" t="s">
        <v>16</v>
      </c>
      <c r="AA72" s="88" t="s">
        <v>16</v>
      </c>
      <c r="AB72" s="89" t="s">
        <v>16</v>
      </c>
      <c r="AC72" s="90"/>
      <c r="AD72" s="87"/>
      <c r="AE72" s="89" t="s">
        <v>16</v>
      </c>
      <c r="AF72" s="90"/>
      <c r="AG72" s="87"/>
      <c r="AH72" s="91" t="s">
        <v>16</v>
      </c>
      <c r="AI72" s="86" t="s">
        <v>16</v>
      </c>
      <c r="AJ72" s="90"/>
      <c r="AK72" s="87"/>
      <c r="AL72" s="89" t="s">
        <v>16</v>
      </c>
      <c r="AM72" s="87"/>
      <c r="AN72" s="89" t="s">
        <v>16</v>
      </c>
      <c r="AO72" s="87"/>
      <c r="AP72" s="89" t="s">
        <v>16</v>
      </c>
      <c r="AQ72" s="87"/>
      <c r="AR72" s="88" t="s">
        <v>16</v>
      </c>
      <c r="AS72" s="89" t="s">
        <v>16</v>
      </c>
      <c r="AT72" s="92"/>
      <c r="AU72" s="93" t="s">
        <v>16</v>
      </c>
      <c r="AV72" s="88" t="s">
        <v>16</v>
      </c>
      <c r="AW72" s="89" t="s">
        <v>16</v>
      </c>
      <c r="AX72" s="87"/>
      <c r="AY72" s="89" t="s">
        <v>16</v>
      </c>
      <c r="AZ72" s="90"/>
      <c r="BA72" s="87"/>
      <c r="BB72" s="89" t="s">
        <v>16</v>
      </c>
      <c r="BC72" s="87"/>
      <c r="BD72" s="91" t="s">
        <v>16</v>
      </c>
      <c r="BE72" s="86" t="s">
        <v>16</v>
      </c>
      <c r="BF72" s="90"/>
      <c r="BG72" s="90"/>
      <c r="BH72" s="87"/>
      <c r="BI72" s="88" t="s">
        <v>16</v>
      </c>
      <c r="BJ72" s="88" t="s">
        <v>16</v>
      </c>
      <c r="BK72" s="89" t="s">
        <v>16</v>
      </c>
      <c r="BL72" s="87"/>
      <c r="BM72" s="89" t="s">
        <v>16</v>
      </c>
      <c r="BN72" s="87"/>
      <c r="BO72" s="89" t="s">
        <v>16</v>
      </c>
      <c r="BP72" s="90"/>
      <c r="BQ72" s="90"/>
      <c r="BR72" s="92"/>
      <c r="BS72" s="94">
        <f t="shared" si="0"/>
        <v>0</v>
      </c>
      <c r="BT72" s="95"/>
      <c r="BU72" s="96"/>
      <c r="BV72" s="94">
        <f t="shared" si="1"/>
        <v>0</v>
      </c>
      <c r="BW72" s="95"/>
      <c r="BX72" s="95"/>
      <c r="BY72" s="96"/>
      <c r="BZ72" s="97"/>
      <c r="CA72" s="98"/>
      <c r="CB72" s="98"/>
      <c r="CC72" s="98"/>
      <c r="CD72" s="98"/>
      <c r="CE72" s="98"/>
      <c r="CF72" s="98"/>
      <c r="CG72" s="99"/>
    </row>
    <row r="73" spans="1:85" ht="15.75" thickBot="1">
      <c r="A73" s="80">
        <v>55</v>
      </c>
      <c r="B73" s="81"/>
      <c r="C73" s="81"/>
      <c r="D73" s="81"/>
      <c r="E73" s="81"/>
      <c r="F73" s="82"/>
      <c r="G73" s="83" t="str">
        <f>IFERROR(INDEX([1]INPUT_DATA_Learners!T:T,MATCH(#REF!,[1]INPUT_DATA_Learners!$A:$A,0)),"")</f>
        <v/>
      </c>
      <c r="H73" s="84"/>
      <c r="I73" s="84"/>
      <c r="J73" s="85"/>
      <c r="K73" s="86" t="s">
        <v>16</v>
      </c>
      <c r="L73" s="87"/>
      <c r="M73" s="88" t="s">
        <v>16</v>
      </c>
      <c r="N73" s="88" t="s">
        <v>16</v>
      </c>
      <c r="O73" s="89" t="s">
        <v>16</v>
      </c>
      <c r="P73" s="90"/>
      <c r="Q73" s="90"/>
      <c r="R73" s="87"/>
      <c r="S73" s="89" t="s">
        <v>16</v>
      </c>
      <c r="T73" s="90"/>
      <c r="U73" s="87"/>
      <c r="V73" s="91" t="s">
        <v>16</v>
      </c>
      <c r="W73" s="86" t="s">
        <v>16</v>
      </c>
      <c r="X73" s="90"/>
      <c r="Y73" s="87"/>
      <c r="Z73" s="88" t="s">
        <v>16</v>
      </c>
      <c r="AA73" s="88" t="s">
        <v>16</v>
      </c>
      <c r="AB73" s="89" t="s">
        <v>16</v>
      </c>
      <c r="AC73" s="90"/>
      <c r="AD73" s="87"/>
      <c r="AE73" s="89" t="s">
        <v>16</v>
      </c>
      <c r="AF73" s="90"/>
      <c r="AG73" s="87"/>
      <c r="AH73" s="91" t="s">
        <v>16</v>
      </c>
      <c r="AI73" s="86" t="s">
        <v>16</v>
      </c>
      <c r="AJ73" s="90"/>
      <c r="AK73" s="87"/>
      <c r="AL73" s="89" t="s">
        <v>16</v>
      </c>
      <c r="AM73" s="87"/>
      <c r="AN73" s="89" t="s">
        <v>16</v>
      </c>
      <c r="AO73" s="87"/>
      <c r="AP73" s="89" t="s">
        <v>16</v>
      </c>
      <c r="AQ73" s="87"/>
      <c r="AR73" s="88" t="s">
        <v>16</v>
      </c>
      <c r="AS73" s="89" t="s">
        <v>16</v>
      </c>
      <c r="AT73" s="92"/>
      <c r="AU73" s="93" t="s">
        <v>16</v>
      </c>
      <c r="AV73" s="88" t="s">
        <v>16</v>
      </c>
      <c r="AW73" s="89" t="s">
        <v>16</v>
      </c>
      <c r="AX73" s="87"/>
      <c r="AY73" s="89" t="s">
        <v>16</v>
      </c>
      <c r="AZ73" s="90"/>
      <c r="BA73" s="87"/>
      <c r="BB73" s="89" t="s">
        <v>16</v>
      </c>
      <c r="BC73" s="87"/>
      <c r="BD73" s="91" t="s">
        <v>16</v>
      </c>
      <c r="BE73" s="86" t="s">
        <v>16</v>
      </c>
      <c r="BF73" s="90"/>
      <c r="BG73" s="90"/>
      <c r="BH73" s="87"/>
      <c r="BI73" s="88" t="s">
        <v>16</v>
      </c>
      <c r="BJ73" s="88" t="s">
        <v>16</v>
      </c>
      <c r="BK73" s="89" t="s">
        <v>16</v>
      </c>
      <c r="BL73" s="87"/>
      <c r="BM73" s="89" t="s">
        <v>16</v>
      </c>
      <c r="BN73" s="87"/>
      <c r="BO73" s="89" t="s">
        <v>16</v>
      </c>
      <c r="BP73" s="90"/>
      <c r="BQ73" s="90"/>
      <c r="BR73" s="92"/>
      <c r="BS73" s="94">
        <f>COUNTIF(K73:BO73,"X")</f>
        <v>0</v>
      </c>
      <c r="BT73" s="95"/>
      <c r="BU73" s="96"/>
      <c r="BV73" s="94">
        <f>$CA$134-BS73</f>
        <v>0</v>
      </c>
      <c r="BW73" s="95"/>
      <c r="BX73" s="95"/>
      <c r="BY73" s="96"/>
      <c r="BZ73" s="97"/>
      <c r="CA73" s="98"/>
      <c r="CB73" s="98"/>
      <c r="CC73" s="98"/>
      <c r="CD73" s="98"/>
      <c r="CE73" s="98"/>
      <c r="CF73" s="98"/>
      <c r="CG73" s="99"/>
    </row>
    <row r="74" spans="1:85" ht="16.5" thickTop="1" thickBot="1">
      <c r="A74" s="100" t="s">
        <v>16</v>
      </c>
      <c r="B74" s="101"/>
      <c r="C74" s="101"/>
      <c r="D74" s="101"/>
      <c r="E74" s="101"/>
      <c r="F74" s="102"/>
      <c r="G74" s="103" t="s">
        <v>32</v>
      </c>
      <c r="H74" s="104"/>
      <c r="I74" s="104"/>
      <c r="J74" s="105"/>
      <c r="K74" s="106" t="str">
        <f>IF($L$17&lt;&gt;"", COUNTIF($G$19:$J$73, "*")-COUNTIF($L$19:$L$73, "X"), "")</f>
        <v/>
      </c>
      <c r="L74" s="107"/>
      <c r="M74" s="108">
        <f>IF($N$17&lt;&gt;"", COUNTIF($G$19:$J$73, "*")-COUNTIF($N$19:$N$73, "X"), "")</f>
        <v>55</v>
      </c>
      <c r="N74" s="108">
        <f>IF($O$17&lt;&gt;"", COUNTIF($G$19:$J$73, "*")-COUNTIF($O$19:$O$73, "X"), "")</f>
        <v>55</v>
      </c>
      <c r="O74" s="109" t="str">
        <f>IF($P$17&lt;&gt;"", COUNTIF($G$19:$J$73, "*")-COUNTIF($P$19:$P$73, "X"), "")</f>
        <v/>
      </c>
      <c r="P74" s="110"/>
      <c r="Q74" s="110"/>
      <c r="R74" s="107"/>
      <c r="S74" s="109" t="str">
        <f>IF($T$17&lt;&gt;"", COUNTIF($G$19:$J$73, "*")-COUNTIF($T$19:$T$73, "X"), "")</f>
        <v/>
      </c>
      <c r="T74" s="110"/>
      <c r="U74" s="107"/>
      <c r="V74" s="111">
        <f>IF($W$17&lt;&gt;"", COUNTIF($G$19:$J$73, "*")-COUNTIF($W$19:$W$73, "X"), "")</f>
        <v>55</v>
      </c>
      <c r="W74" s="109" t="str">
        <f>IF($X$17&lt;&gt;"", COUNTIF($G$19:$J$73, "*")-COUNTIF($X$19:$X$73, "X"), "")</f>
        <v/>
      </c>
      <c r="X74" s="110"/>
      <c r="Y74" s="107"/>
      <c r="Z74" s="108">
        <f>IF($AA$17&lt;&gt;"", COUNTIF($G$19:$J$73, "*")-COUNTIF($AA$19:$AA$73, "X"), "")</f>
        <v>55</v>
      </c>
      <c r="AA74" s="108">
        <f>IF($AB$17&lt;&gt;"", COUNTIF($G$19:$J$73, "*")-COUNTIF($AB$19:$AB$73, "X"), "")</f>
        <v>55</v>
      </c>
      <c r="AB74" s="109" t="str">
        <f>IF($AC$17&lt;&gt;"", COUNTIF($G$19:$J$73, "*")-COUNTIF($AC$19:$AC$73, "X"), "")</f>
        <v/>
      </c>
      <c r="AC74" s="110"/>
      <c r="AD74" s="107"/>
      <c r="AE74" s="109" t="str">
        <f>IF($AF$17&lt;&gt;"", COUNTIF($G$19:$J$73, "*")-COUNTIF($AF$19:$AF$73, "X"), "")</f>
        <v/>
      </c>
      <c r="AF74" s="110"/>
      <c r="AG74" s="107"/>
      <c r="AH74" s="111">
        <f>IF($AI$17&lt;&gt;"", COUNTIF($G$19:$J$73, "*")-COUNTIF($AI$19:$AI$73, "X"), "")</f>
        <v>55</v>
      </c>
      <c r="AI74" s="109" t="str">
        <f>IF($AJ$17&lt;&gt;"", COUNTIF($G$19:$J$73, "*")-COUNTIF($AJ$19:$AJ$73, "X"), "")</f>
        <v/>
      </c>
      <c r="AJ74" s="110"/>
      <c r="AK74" s="107"/>
      <c r="AL74" s="109" t="str">
        <f>IF($AM$17&lt;&gt;"", COUNTIF($G$19:$J$73, "*")-COUNTIF($AM$19:$AM$73, "X"), "")</f>
        <v/>
      </c>
      <c r="AM74" s="107"/>
      <c r="AN74" s="109" t="str">
        <f>IF($AO$17&lt;&gt;"", COUNTIF($G$19:$J$73, "*")-COUNTIF($AO$19:$AO$73, "X"), "")</f>
        <v/>
      </c>
      <c r="AO74" s="107"/>
      <c r="AP74" s="109" t="str">
        <f>IF($AQ$17&lt;&gt;"", COUNTIF($G$19:$J$73, "*")-COUNTIF($AQ$19:$AQ$73, "X"), "")</f>
        <v/>
      </c>
      <c r="AQ74" s="107"/>
      <c r="AR74" s="108">
        <f>IF($AS$17&lt;&gt;"", COUNTIF($G$19:$J$73, "*")-COUNTIF($AS$19:$AS$73, "X"), "")</f>
        <v>55</v>
      </c>
      <c r="AS74" s="109" t="str">
        <f>IF($AT$17&lt;&gt;"", COUNTIF($G$19:$J$73, "*")-COUNTIF($AT$19:$AT$73, "X"), "")</f>
        <v/>
      </c>
      <c r="AT74" s="112"/>
      <c r="AU74" s="108">
        <f>IF($AV$17&lt;&gt;"", COUNTIF($G$19:$J$73, "*")-COUNTIF($AV$19:$AV$73, "X"), "")</f>
        <v>55</v>
      </c>
      <c r="AV74" s="108">
        <f>IF($AW$17&lt;&gt;"", COUNTIF($G$19:$J$73, "*")-COUNTIF($AW$19:$AW$73, "X"), "")</f>
        <v>55</v>
      </c>
      <c r="AW74" s="109" t="str">
        <f>IF($AX$17&lt;&gt;"", COUNTIF($G$19:$J$73, "*")-COUNTIF($AX$19:$AX$73, "X"), "")</f>
        <v/>
      </c>
      <c r="AX74" s="107"/>
      <c r="AY74" s="109" t="str">
        <f>IF($AZ$17&lt;&gt;"", COUNTIF($G$19:$J$73, "*")-COUNTIF($AZ$19:$AZ$73, "X"), "")</f>
        <v/>
      </c>
      <c r="AZ74" s="110"/>
      <c r="BA74" s="107"/>
      <c r="BB74" s="109" t="str">
        <f>IF($BC$17&lt;&gt;"", COUNTIF($G$19:$J$73, "*")-COUNTIF($BC$19:$BC$73, "X"), "")</f>
        <v/>
      </c>
      <c r="BC74" s="107"/>
      <c r="BD74" s="111">
        <f>IF($BE$17&lt;&gt;"", COUNTIF($G$19:$J$73, "*")-COUNTIF($BE$19:$BE$73, "X"), "")</f>
        <v>55</v>
      </c>
      <c r="BE74" s="109" t="str">
        <f>IF($BF$17&lt;&gt;"", COUNTIF($G$19:$J$73, "*")-COUNTIF($BF$19:$BF$73, "X"), "")</f>
        <v/>
      </c>
      <c r="BF74" s="110"/>
      <c r="BG74" s="110"/>
      <c r="BH74" s="107"/>
      <c r="BI74" s="108">
        <f>IF($BJ$17&lt;&gt;"", COUNTIF($G$19:$J$73, "*")-COUNTIF($BJ$19:$BJ$73, "X"), "")</f>
        <v>55</v>
      </c>
      <c r="BJ74" s="108">
        <f>IF($BK$17&lt;&gt;"", COUNTIF($G$19:$J$73, "*")-COUNTIF($BK$19:$BK$73, "X"), "")</f>
        <v>55</v>
      </c>
      <c r="BK74" s="109" t="str">
        <f>IF($BL$17&lt;&gt;"", COUNTIF($G$19:$J$73, "*")-COUNTIF($BL$19:$BL$73, "X"), "")</f>
        <v/>
      </c>
      <c r="BL74" s="107"/>
      <c r="BM74" s="109" t="str">
        <f>IF($BN$17&lt;&gt;"", COUNTIF($G$19:$J$73, "*")-COUNTIF($BN$19:$BN$73, "X"), "")</f>
        <v/>
      </c>
      <c r="BN74" s="107"/>
      <c r="BO74" s="109" t="str">
        <f>IF($BP$17&lt;&gt;"", COUNTIF($G$19:$J$73, "*")-COUNTIF($BP$19:$BP$73, "X"), "")</f>
        <v/>
      </c>
      <c r="BP74" s="110"/>
      <c r="BQ74" s="110"/>
      <c r="BR74" s="112"/>
      <c r="BS74" s="113">
        <f>SUM(BS19:BU73)</f>
        <v>0</v>
      </c>
      <c r="BT74" s="114"/>
      <c r="BU74" s="115"/>
      <c r="BV74" s="113">
        <f>SUM(BV19:BY73)</f>
        <v>0</v>
      </c>
      <c r="BW74" s="114"/>
      <c r="BX74" s="114"/>
      <c r="BY74" s="115"/>
      <c r="BZ74" s="116"/>
      <c r="CA74" s="117"/>
      <c r="CB74" s="117"/>
      <c r="CC74" s="117"/>
      <c r="CD74" s="117"/>
      <c r="CE74" s="117"/>
      <c r="CF74" s="117"/>
      <c r="CG74" s="118"/>
    </row>
    <row r="75" spans="1:85">
      <c r="A75" s="80">
        <v>1</v>
      </c>
      <c r="B75" s="81"/>
      <c r="C75" s="81"/>
      <c r="D75" s="81"/>
      <c r="E75" s="81"/>
      <c r="F75" s="82"/>
      <c r="G75" s="83" t="str">
        <f>IFERROR(INDEX([1]INPUT_DATA_Learners!T:T,MATCH(#REF!,[1]INPUT_DATA_Learners!$A:$A,0)),"")</f>
        <v/>
      </c>
      <c r="H75" s="84"/>
      <c r="I75" s="84"/>
      <c r="J75" s="85"/>
      <c r="K75" s="86" t="s">
        <v>16</v>
      </c>
      <c r="L75" s="87"/>
      <c r="M75" s="88" t="s">
        <v>16</v>
      </c>
      <c r="N75" s="88" t="s">
        <v>16</v>
      </c>
      <c r="O75" s="89" t="s">
        <v>16</v>
      </c>
      <c r="P75" s="90"/>
      <c r="Q75" s="90"/>
      <c r="R75" s="87"/>
      <c r="S75" s="89" t="s">
        <v>16</v>
      </c>
      <c r="T75" s="90"/>
      <c r="U75" s="87"/>
      <c r="V75" s="91" t="s">
        <v>16</v>
      </c>
      <c r="W75" s="86" t="s">
        <v>16</v>
      </c>
      <c r="X75" s="90"/>
      <c r="Y75" s="87"/>
      <c r="Z75" s="88" t="s">
        <v>16</v>
      </c>
      <c r="AA75" s="88" t="s">
        <v>16</v>
      </c>
      <c r="AB75" s="89" t="s">
        <v>16</v>
      </c>
      <c r="AC75" s="90"/>
      <c r="AD75" s="87"/>
      <c r="AE75" s="89" t="s">
        <v>16</v>
      </c>
      <c r="AF75" s="90"/>
      <c r="AG75" s="87"/>
      <c r="AH75" s="91" t="s">
        <v>16</v>
      </c>
      <c r="AI75" s="86" t="s">
        <v>16</v>
      </c>
      <c r="AJ75" s="90"/>
      <c r="AK75" s="87"/>
      <c r="AL75" s="89" t="s">
        <v>16</v>
      </c>
      <c r="AM75" s="87"/>
      <c r="AN75" s="89" t="s">
        <v>16</v>
      </c>
      <c r="AO75" s="87"/>
      <c r="AP75" s="89" t="s">
        <v>16</v>
      </c>
      <c r="AQ75" s="87"/>
      <c r="AR75" s="88" t="s">
        <v>16</v>
      </c>
      <c r="AS75" s="89" t="s">
        <v>16</v>
      </c>
      <c r="AT75" s="92"/>
      <c r="AU75" s="93" t="s">
        <v>16</v>
      </c>
      <c r="AV75" s="88" t="s">
        <v>16</v>
      </c>
      <c r="AW75" s="89" t="s">
        <v>16</v>
      </c>
      <c r="AX75" s="87"/>
      <c r="AY75" s="89" t="s">
        <v>16</v>
      </c>
      <c r="AZ75" s="90"/>
      <c r="BA75" s="87"/>
      <c r="BB75" s="89" t="s">
        <v>16</v>
      </c>
      <c r="BC75" s="87"/>
      <c r="BD75" s="91" t="s">
        <v>16</v>
      </c>
      <c r="BE75" s="86" t="s">
        <v>16</v>
      </c>
      <c r="BF75" s="90"/>
      <c r="BG75" s="90"/>
      <c r="BH75" s="87"/>
      <c r="BI75" s="88" t="s">
        <v>16</v>
      </c>
      <c r="BJ75" s="88" t="s">
        <v>16</v>
      </c>
      <c r="BK75" s="89" t="s">
        <v>16</v>
      </c>
      <c r="BL75" s="87"/>
      <c r="BM75" s="89" t="s">
        <v>16</v>
      </c>
      <c r="BN75" s="87"/>
      <c r="BO75" s="89" t="s">
        <v>16</v>
      </c>
      <c r="BP75" s="90"/>
      <c r="BQ75" s="90"/>
      <c r="BR75" s="92"/>
      <c r="BS75" s="94">
        <f>COUNTIF(K75:BO75,"X")</f>
        <v>0</v>
      </c>
      <c r="BT75" s="95"/>
      <c r="BU75" s="96"/>
      <c r="BV75" s="94">
        <f>$CA$134-BS75</f>
        <v>0</v>
      </c>
      <c r="BW75" s="95"/>
      <c r="BX75" s="95"/>
      <c r="BY75" s="96"/>
      <c r="BZ75" s="97"/>
      <c r="CA75" s="98"/>
      <c r="CB75" s="98"/>
      <c r="CC75" s="98"/>
      <c r="CD75" s="98"/>
      <c r="CE75" s="98"/>
      <c r="CF75" s="98"/>
      <c r="CG75" s="99"/>
    </row>
    <row r="76" spans="1:85">
      <c r="A76" s="80">
        <v>2</v>
      </c>
      <c r="B76" s="81"/>
      <c r="C76" s="81"/>
      <c r="D76" s="81"/>
      <c r="E76" s="81"/>
      <c r="F76" s="82"/>
      <c r="G76" s="83" t="str">
        <f>IFERROR(INDEX([1]INPUT_DATA_Learners!T:T,MATCH(#REF!,[1]INPUT_DATA_Learners!$A:$A,0)),"")</f>
        <v/>
      </c>
      <c r="H76" s="84"/>
      <c r="I76" s="84"/>
      <c r="J76" s="85"/>
      <c r="K76" s="86" t="s">
        <v>16</v>
      </c>
      <c r="L76" s="87"/>
      <c r="M76" s="88" t="s">
        <v>16</v>
      </c>
      <c r="N76" s="88" t="s">
        <v>16</v>
      </c>
      <c r="O76" s="89" t="s">
        <v>16</v>
      </c>
      <c r="P76" s="90"/>
      <c r="Q76" s="90"/>
      <c r="R76" s="87"/>
      <c r="S76" s="89" t="s">
        <v>16</v>
      </c>
      <c r="T76" s="90"/>
      <c r="U76" s="87"/>
      <c r="V76" s="91"/>
      <c r="W76" s="86" t="s">
        <v>16</v>
      </c>
      <c r="X76" s="90"/>
      <c r="Y76" s="87"/>
      <c r="Z76" s="88" t="s">
        <v>16</v>
      </c>
      <c r="AA76" s="88" t="s">
        <v>16</v>
      </c>
      <c r="AB76" s="89" t="s">
        <v>16</v>
      </c>
      <c r="AC76" s="90"/>
      <c r="AD76" s="87"/>
      <c r="AE76" s="89" t="s">
        <v>16</v>
      </c>
      <c r="AF76" s="90"/>
      <c r="AG76" s="87"/>
      <c r="AH76" s="91" t="s">
        <v>16</v>
      </c>
      <c r="AI76" s="86" t="s">
        <v>16</v>
      </c>
      <c r="AJ76" s="90"/>
      <c r="AK76" s="87"/>
      <c r="AL76" s="89" t="s">
        <v>16</v>
      </c>
      <c r="AM76" s="87"/>
      <c r="AN76" s="89" t="s">
        <v>16</v>
      </c>
      <c r="AO76" s="87"/>
      <c r="AP76" s="89" t="s">
        <v>16</v>
      </c>
      <c r="AQ76" s="87"/>
      <c r="AR76" s="88" t="s">
        <v>16</v>
      </c>
      <c r="AS76" s="89" t="s">
        <v>16</v>
      </c>
      <c r="AT76" s="92"/>
      <c r="AU76" s="93" t="s">
        <v>16</v>
      </c>
      <c r="AV76" s="88" t="s">
        <v>16</v>
      </c>
      <c r="AW76" s="89" t="s">
        <v>16</v>
      </c>
      <c r="AX76" s="87"/>
      <c r="AY76" s="89" t="s">
        <v>16</v>
      </c>
      <c r="AZ76" s="90"/>
      <c r="BA76" s="87"/>
      <c r="BB76" s="89" t="s">
        <v>16</v>
      </c>
      <c r="BC76" s="87"/>
      <c r="BD76" s="91" t="s">
        <v>16</v>
      </c>
      <c r="BE76" s="86" t="s">
        <v>16</v>
      </c>
      <c r="BF76" s="90"/>
      <c r="BG76" s="90"/>
      <c r="BH76" s="87"/>
      <c r="BI76" s="88" t="s">
        <v>16</v>
      </c>
      <c r="BJ76" s="88" t="s">
        <v>16</v>
      </c>
      <c r="BK76" s="89" t="s">
        <v>16</v>
      </c>
      <c r="BL76" s="87"/>
      <c r="BM76" s="89" t="s">
        <v>16</v>
      </c>
      <c r="BN76" s="87"/>
      <c r="BO76" s="89" t="s">
        <v>16</v>
      </c>
      <c r="BP76" s="90"/>
      <c r="BQ76" s="90"/>
      <c r="BR76" s="92"/>
      <c r="BS76" s="94">
        <f>COUNTIF(K76:BO76,"X")</f>
        <v>0</v>
      </c>
      <c r="BT76" s="95"/>
      <c r="BU76" s="96"/>
      <c r="BV76" s="94">
        <f>$CA$134-BS76</f>
        <v>0</v>
      </c>
      <c r="BW76" s="95"/>
      <c r="BX76" s="95"/>
      <c r="BY76" s="96"/>
      <c r="BZ76" s="97"/>
      <c r="CA76" s="98"/>
      <c r="CB76" s="98"/>
      <c r="CC76" s="98"/>
      <c r="CD76" s="98"/>
      <c r="CE76" s="98"/>
      <c r="CF76" s="98"/>
      <c r="CG76" s="99"/>
    </row>
    <row r="77" spans="1:85">
      <c r="A77" s="80">
        <v>3</v>
      </c>
      <c r="B77" s="81"/>
      <c r="C77" s="81"/>
      <c r="D77" s="81"/>
      <c r="E77" s="81"/>
      <c r="F77" s="82"/>
      <c r="G77" s="83" t="str">
        <f>IFERROR(INDEX([1]INPUT_DATA_Learners!T:T,MATCH(#REF!,[1]INPUT_DATA_Learners!$A:$A,0)),"")</f>
        <v/>
      </c>
      <c r="H77" s="84"/>
      <c r="I77" s="84"/>
      <c r="J77" s="85"/>
      <c r="K77" s="86" t="s">
        <v>16</v>
      </c>
      <c r="L77" s="87"/>
      <c r="M77" s="88" t="s">
        <v>16</v>
      </c>
      <c r="N77" s="88" t="s">
        <v>16</v>
      </c>
      <c r="O77" s="89" t="s">
        <v>16</v>
      </c>
      <c r="P77" s="90"/>
      <c r="Q77" s="90"/>
      <c r="R77" s="87"/>
      <c r="S77" s="89" t="s">
        <v>16</v>
      </c>
      <c r="T77" s="90"/>
      <c r="U77" s="87"/>
      <c r="V77" s="91" t="s">
        <v>16</v>
      </c>
      <c r="W77" s="86" t="s">
        <v>16</v>
      </c>
      <c r="X77" s="90"/>
      <c r="Y77" s="87"/>
      <c r="Z77" s="88" t="s">
        <v>16</v>
      </c>
      <c r="AA77" s="88" t="s">
        <v>16</v>
      </c>
      <c r="AB77" s="89" t="s">
        <v>16</v>
      </c>
      <c r="AC77" s="90"/>
      <c r="AD77" s="87"/>
      <c r="AE77" s="89" t="s">
        <v>16</v>
      </c>
      <c r="AF77" s="90"/>
      <c r="AG77" s="87"/>
      <c r="AH77" s="91" t="s">
        <v>16</v>
      </c>
      <c r="AI77" s="86" t="s">
        <v>16</v>
      </c>
      <c r="AJ77" s="90"/>
      <c r="AK77" s="87"/>
      <c r="AL77" s="89" t="s">
        <v>16</v>
      </c>
      <c r="AM77" s="87"/>
      <c r="AN77" s="89" t="s">
        <v>16</v>
      </c>
      <c r="AO77" s="87"/>
      <c r="AP77" s="89" t="s">
        <v>16</v>
      </c>
      <c r="AQ77" s="87"/>
      <c r="AR77" s="88" t="s">
        <v>16</v>
      </c>
      <c r="AS77" s="89" t="s">
        <v>16</v>
      </c>
      <c r="AT77" s="92"/>
      <c r="AU77" s="93" t="s">
        <v>16</v>
      </c>
      <c r="AV77" s="88" t="s">
        <v>16</v>
      </c>
      <c r="AW77" s="89" t="s">
        <v>16</v>
      </c>
      <c r="AX77" s="87"/>
      <c r="AY77" s="89" t="s">
        <v>16</v>
      </c>
      <c r="AZ77" s="90"/>
      <c r="BA77" s="87"/>
      <c r="BB77" s="89" t="s">
        <v>16</v>
      </c>
      <c r="BC77" s="87"/>
      <c r="BD77" s="91" t="s">
        <v>16</v>
      </c>
      <c r="BE77" s="86" t="s">
        <v>16</v>
      </c>
      <c r="BF77" s="90"/>
      <c r="BG77" s="90"/>
      <c r="BH77" s="87"/>
      <c r="BI77" s="88" t="s">
        <v>16</v>
      </c>
      <c r="BJ77" s="88" t="s">
        <v>16</v>
      </c>
      <c r="BK77" s="89" t="s">
        <v>16</v>
      </c>
      <c r="BL77" s="87"/>
      <c r="BM77" s="89" t="s">
        <v>16</v>
      </c>
      <c r="BN77" s="87"/>
      <c r="BO77" s="89" t="s">
        <v>16</v>
      </c>
      <c r="BP77" s="90"/>
      <c r="BQ77" s="90"/>
      <c r="BR77" s="92"/>
      <c r="BS77" s="94">
        <f>COUNTIF(K77:BO77,"X")</f>
        <v>0</v>
      </c>
      <c r="BT77" s="95"/>
      <c r="BU77" s="96"/>
      <c r="BV77" s="94">
        <f>$CA$134-BS77</f>
        <v>0</v>
      </c>
      <c r="BW77" s="95"/>
      <c r="BX77" s="95"/>
      <c r="BY77" s="96"/>
      <c r="BZ77" s="97"/>
      <c r="CA77" s="98"/>
      <c r="CB77" s="98"/>
      <c r="CC77" s="98"/>
      <c r="CD77" s="98"/>
      <c r="CE77" s="98"/>
      <c r="CF77" s="98"/>
      <c r="CG77" s="99"/>
    </row>
    <row r="78" spans="1:85">
      <c r="A78" s="80">
        <v>4</v>
      </c>
      <c r="B78" s="81"/>
      <c r="C78" s="81"/>
      <c r="D78" s="81"/>
      <c r="E78" s="81"/>
      <c r="F78" s="82"/>
      <c r="G78" s="83" t="str">
        <f>IFERROR(INDEX([1]INPUT_DATA_Learners!T:T,MATCH(#REF!,[1]INPUT_DATA_Learners!$A:$A,0)),"")</f>
        <v/>
      </c>
      <c r="H78" s="84"/>
      <c r="I78" s="84"/>
      <c r="J78" s="85"/>
      <c r="K78" s="86" t="s">
        <v>16</v>
      </c>
      <c r="L78" s="87"/>
      <c r="M78" s="88" t="s">
        <v>16</v>
      </c>
      <c r="N78" s="88" t="s">
        <v>16</v>
      </c>
      <c r="O78" s="89" t="s">
        <v>16</v>
      </c>
      <c r="P78" s="90"/>
      <c r="Q78" s="90"/>
      <c r="R78" s="87"/>
      <c r="S78" s="89" t="s">
        <v>16</v>
      </c>
      <c r="T78" s="90"/>
      <c r="U78" s="87"/>
      <c r="V78" s="91" t="s">
        <v>16</v>
      </c>
      <c r="W78" s="86" t="s">
        <v>16</v>
      </c>
      <c r="X78" s="90"/>
      <c r="Y78" s="87"/>
      <c r="Z78" s="88" t="s">
        <v>16</v>
      </c>
      <c r="AA78" s="88" t="s">
        <v>16</v>
      </c>
      <c r="AB78" s="89" t="s">
        <v>16</v>
      </c>
      <c r="AC78" s="90"/>
      <c r="AD78" s="87"/>
      <c r="AE78" s="89" t="s">
        <v>16</v>
      </c>
      <c r="AF78" s="90"/>
      <c r="AG78" s="87"/>
      <c r="AH78" s="91" t="s">
        <v>16</v>
      </c>
      <c r="AI78" s="86" t="s">
        <v>16</v>
      </c>
      <c r="AJ78" s="90"/>
      <c r="AK78" s="87"/>
      <c r="AL78" s="89" t="s">
        <v>16</v>
      </c>
      <c r="AM78" s="87"/>
      <c r="AN78" s="89" t="s">
        <v>16</v>
      </c>
      <c r="AO78" s="87"/>
      <c r="AP78" s="89" t="s">
        <v>16</v>
      </c>
      <c r="AQ78" s="87"/>
      <c r="AR78" s="88" t="s">
        <v>16</v>
      </c>
      <c r="AS78" s="89" t="s">
        <v>16</v>
      </c>
      <c r="AT78" s="92"/>
      <c r="AU78" s="93" t="s">
        <v>16</v>
      </c>
      <c r="AV78" s="88" t="s">
        <v>16</v>
      </c>
      <c r="AW78" s="89" t="s">
        <v>16</v>
      </c>
      <c r="AX78" s="87"/>
      <c r="AY78" s="89" t="s">
        <v>16</v>
      </c>
      <c r="AZ78" s="90"/>
      <c r="BA78" s="87"/>
      <c r="BB78" s="89" t="s">
        <v>16</v>
      </c>
      <c r="BC78" s="87"/>
      <c r="BD78" s="91" t="s">
        <v>16</v>
      </c>
      <c r="BE78" s="86" t="s">
        <v>16</v>
      </c>
      <c r="BF78" s="90"/>
      <c r="BG78" s="90"/>
      <c r="BH78" s="87"/>
      <c r="BI78" s="88" t="s">
        <v>16</v>
      </c>
      <c r="BJ78" s="88" t="s">
        <v>16</v>
      </c>
      <c r="BK78" s="89" t="s">
        <v>16</v>
      </c>
      <c r="BL78" s="87"/>
      <c r="BM78" s="89" t="s">
        <v>16</v>
      </c>
      <c r="BN78" s="87"/>
      <c r="BO78" s="89" t="s">
        <v>16</v>
      </c>
      <c r="BP78" s="90"/>
      <c r="BQ78" s="90"/>
      <c r="BR78" s="92"/>
      <c r="BS78" s="94">
        <f t="shared" ref="BS78:BS84" si="2">COUNTIF(K78:BO78,"X")</f>
        <v>0</v>
      </c>
      <c r="BT78" s="95"/>
      <c r="BU78" s="96"/>
      <c r="BV78" s="94">
        <f t="shared" ref="BV78:BV84" si="3">$CA$134-BS78</f>
        <v>0</v>
      </c>
      <c r="BW78" s="95"/>
      <c r="BX78" s="95"/>
      <c r="BY78" s="96"/>
      <c r="BZ78" s="97"/>
      <c r="CA78" s="98"/>
      <c r="CB78" s="98"/>
      <c r="CC78" s="98"/>
      <c r="CD78" s="98"/>
      <c r="CE78" s="98"/>
      <c r="CF78" s="98"/>
      <c r="CG78" s="99"/>
    </row>
    <row r="79" spans="1:85">
      <c r="A79" s="80">
        <v>5</v>
      </c>
      <c r="B79" s="81"/>
      <c r="C79" s="81"/>
      <c r="D79" s="81"/>
      <c r="E79" s="81"/>
      <c r="F79" s="82"/>
      <c r="G79" s="83" t="str">
        <f>IFERROR(INDEX([1]INPUT_DATA_Learners!T:T,MATCH(#REF!,[1]INPUT_DATA_Learners!$A:$A,0)),"")</f>
        <v/>
      </c>
      <c r="H79" s="84"/>
      <c r="I79" s="84"/>
      <c r="J79" s="85"/>
      <c r="K79" s="86" t="s">
        <v>16</v>
      </c>
      <c r="L79" s="87"/>
      <c r="M79" s="88" t="s">
        <v>16</v>
      </c>
      <c r="N79" s="88" t="s">
        <v>16</v>
      </c>
      <c r="O79" s="89" t="s">
        <v>16</v>
      </c>
      <c r="P79" s="90"/>
      <c r="Q79" s="90"/>
      <c r="R79" s="87"/>
      <c r="S79" s="89" t="s">
        <v>16</v>
      </c>
      <c r="T79" s="90"/>
      <c r="U79" s="87"/>
      <c r="V79" s="91" t="s">
        <v>16</v>
      </c>
      <c r="W79" s="86" t="s">
        <v>16</v>
      </c>
      <c r="X79" s="90"/>
      <c r="Y79" s="87"/>
      <c r="Z79" s="88" t="s">
        <v>16</v>
      </c>
      <c r="AA79" s="88" t="s">
        <v>16</v>
      </c>
      <c r="AB79" s="89" t="s">
        <v>16</v>
      </c>
      <c r="AC79" s="90"/>
      <c r="AD79" s="87"/>
      <c r="AE79" s="89" t="s">
        <v>16</v>
      </c>
      <c r="AF79" s="90"/>
      <c r="AG79" s="87"/>
      <c r="AH79" s="91" t="s">
        <v>16</v>
      </c>
      <c r="AI79" s="86" t="s">
        <v>16</v>
      </c>
      <c r="AJ79" s="90"/>
      <c r="AK79" s="87"/>
      <c r="AL79" s="89" t="s">
        <v>16</v>
      </c>
      <c r="AM79" s="87"/>
      <c r="AN79" s="89" t="s">
        <v>16</v>
      </c>
      <c r="AO79" s="87"/>
      <c r="AP79" s="89" t="s">
        <v>16</v>
      </c>
      <c r="AQ79" s="87"/>
      <c r="AR79" s="88" t="s">
        <v>16</v>
      </c>
      <c r="AS79" s="89" t="s">
        <v>16</v>
      </c>
      <c r="AT79" s="92"/>
      <c r="AU79" s="93" t="s">
        <v>16</v>
      </c>
      <c r="AV79" s="88" t="s">
        <v>16</v>
      </c>
      <c r="AW79" s="89" t="s">
        <v>16</v>
      </c>
      <c r="AX79" s="87"/>
      <c r="AY79" s="89" t="s">
        <v>16</v>
      </c>
      <c r="AZ79" s="90"/>
      <c r="BA79" s="87"/>
      <c r="BB79" s="89" t="s">
        <v>16</v>
      </c>
      <c r="BC79" s="87"/>
      <c r="BD79" s="91" t="s">
        <v>16</v>
      </c>
      <c r="BE79" s="86" t="s">
        <v>16</v>
      </c>
      <c r="BF79" s="90"/>
      <c r="BG79" s="90"/>
      <c r="BH79" s="87"/>
      <c r="BI79" s="88" t="s">
        <v>16</v>
      </c>
      <c r="BJ79" s="88" t="s">
        <v>16</v>
      </c>
      <c r="BK79" s="89" t="s">
        <v>16</v>
      </c>
      <c r="BL79" s="87"/>
      <c r="BM79" s="89" t="s">
        <v>16</v>
      </c>
      <c r="BN79" s="87"/>
      <c r="BO79" s="89" t="s">
        <v>16</v>
      </c>
      <c r="BP79" s="90"/>
      <c r="BQ79" s="90"/>
      <c r="BR79" s="92"/>
      <c r="BS79" s="94">
        <f t="shared" si="2"/>
        <v>0</v>
      </c>
      <c r="BT79" s="95"/>
      <c r="BU79" s="96"/>
      <c r="BV79" s="94">
        <f t="shared" si="3"/>
        <v>0</v>
      </c>
      <c r="BW79" s="95"/>
      <c r="BX79" s="95"/>
      <c r="BY79" s="96"/>
      <c r="BZ79" s="97"/>
      <c r="CA79" s="98"/>
      <c r="CB79" s="98"/>
      <c r="CC79" s="98"/>
      <c r="CD79" s="98"/>
      <c r="CE79" s="98"/>
      <c r="CF79" s="98"/>
      <c r="CG79" s="99"/>
    </row>
    <row r="80" spans="1:85">
      <c r="A80" s="80">
        <v>6</v>
      </c>
      <c r="B80" s="81"/>
      <c r="C80" s="81"/>
      <c r="D80" s="81"/>
      <c r="E80" s="81"/>
      <c r="F80" s="82"/>
      <c r="G80" s="83" t="str">
        <f>IFERROR(INDEX([1]INPUT_DATA_Learners!T:T,MATCH(#REF!,[1]INPUT_DATA_Learners!$A:$A,0)),"")</f>
        <v/>
      </c>
      <c r="H80" s="84"/>
      <c r="I80" s="84"/>
      <c r="J80" s="85"/>
      <c r="K80" s="86" t="s">
        <v>16</v>
      </c>
      <c r="L80" s="87"/>
      <c r="M80" s="88" t="s">
        <v>16</v>
      </c>
      <c r="N80" s="88" t="s">
        <v>16</v>
      </c>
      <c r="O80" s="89" t="s">
        <v>16</v>
      </c>
      <c r="P80" s="90"/>
      <c r="Q80" s="90"/>
      <c r="R80" s="87"/>
      <c r="S80" s="89" t="s">
        <v>16</v>
      </c>
      <c r="T80" s="90"/>
      <c r="U80" s="87"/>
      <c r="V80" s="91" t="s">
        <v>16</v>
      </c>
      <c r="W80" s="86" t="s">
        <v>16</v>
      </c>
      <c r="X80" s="90"/>
      <c r="Y80" s="87"/>
      <c r="Z80" s="88" t="s">
        <v>16</v>
      </c>
      <c r="AA80" s="88" t="s">
        <v>16</v>
      </c>
      <c r="AB80" s="89" t="s">
        <v>16</v>
      </c>
      <c r="AC80" s="90"/>
      <c r="AD80" s="87"/>
      <c r="AE80" s="89" t="s">
        <v>16</v>
      </c>
      <c r="AF80" s="90"/>
      <c r="AG80" s="87"/>
      <c r="AH80" s="91" t="s">
        <v>16</v>
      </c>
      <c r="AI80" s="86" t="s">
        <v>16</v>
      </c>
      <c r="AJ80" s="90"/>
      <c r="AK80" s="87"/>
      <c r="AL80" s="89" t="s">
        <v>16</v>
      </c>
      <c r="AM80" s="87"/>
      <c r="AN80" s="89" t="s">
        <v>16</v>
      </c>
      <c r="AO80" s="87"/>
      <c r="AP80" s="89" t="s">
        <v>16</v>
      </c>
      <c r="AQ80" s="87"/>
      <c r="AR80" s="88" t="s">
        <v>16</v>
      </c>
      <c r="AS80" s="89" t="s">
        <v>16</v>
      </c>
      <c r="AT80" s="92"/>
      <c r="AU80" s="93" t="s">
        <v>16</v>
      </c>
      <c r="AV80" s="88" t="s">
        <v>16</v>
      </c>
      <c r="AW80" s="89" t="s">
        <v>16</v>
      </c>
      <c r="AX80" s="87"/>
      <c r="AY80" s="89" t="s">
        <v>16</v>
      </c>
      <c r="AZ80" s="90"/>
      <c r="BA80" s="87"/>
      <c r="BB80" s="89" t="s">
        <v>16</v>
      </c>
      <c r="BC80" s="87"/>
      <c r="BD80" s="91" t="s">
        <v>16</v>
      </c>
      <c r="BE80" s="86" t="s">
        <v>16</v>
      </c>
      <c r="BF80" s="90"/>
      <c r="BG80" s="90"/>
      <c r="BH80" s="87"/>
      <c r="BI80" s="88" t="s">
        <v>16</v>
      </c>
      <c r="BJ80" s="88" t="s">
        <v>16</v>
      </c>
      <c r="BK80" s="89" t="s">
        <v>16</v>
      </c>
      <c r="BL80" s="87"/>
      <c r="BM80" s="89" t="s">
        <v>16</v>
      </c>
      <c r="BN80" s="87"/>
      <c r="BO80" s="89" t="s">
        <v>16</v>
      </c>
      <c r="BP80" s="90"/>
      <c r="BQ80" s="90"/>
      <c r="BR80" s="92"/>
      <c r="BS80" s="94">
        <f t="shared" si="2"/>
        <v>0</v>
      </c>
      <c r="BT80" s="95"/>
      <c r="BU80" s="96"/>
      <c r="BV80" s="94">
        <f t="shared" si="3"/>
        <v>0</v>
      </c>
      <c r="BW80" s="95"/>
      <c r="BX80" s="95"/>
      <c r="BY80" s="96"/>
      <c r="BZ80" s="97"/>
      <c r="CA80" s="98"/>
      <c r="CB80" s="98"/>
      <c r="CC80" s="98"/>
      <c r="CD80" s="98"/>
      <c r="CE80" s="98"/>
      <c r="CF80" s="98"/>
      <c r="CG80" s="99"/>
    </row>
    <row r="81" spans="1:85">
      <c r="A81" s="80">
        <v>7</v>
      </c>
      <c r="B81" s="81"/>
      <c r="C81" s="81"/>
      <c r="D81" s="81"/>
      <c r="E81" s="81"/>
      <c r="F81" s="82"/>
      <c r="G81" s="83" t="str">
        <f>IFERROR(INDEX([1]INPUT_DATA_Learners!T:T,MATCH(#REF!,[1]INPUT_DATA_Learners!$A:$A,0)),"")</f>
        <v/>
      </c>
      <c r="H81" s="84"/>
      <c r="I81" s="84"/>
      <c r="J81" s="85"/>
      <c r="K81" s="86" t="s">
        <v>16</v>
      </c>
      <c r="L81" s="87"/>
      <c r="M81" s="88" t="s">
        <v>16</v>
      </c>
      <c r="N81" s="88" t="s">
        <v>16</v>
      </c>
      <c r="O81" s="89" t="s">
        <v>16</v>
      </c>
      <c r="P81" s="90"/>
      <c r="Q81" s="90"/>
      <c r="R81" s="87"/>
      <c r="S81" s="89" t="s">
        <v>16</v>
      </c>
      <c r="T81" s="90"/>
      <c r="U81" s="87"/>
      <c r="V81" s="91" t="s">
        <v>16</v>
      </c>
      <c r="W81" s="86" t="s">
        <v>16</v>
      </c>
      <c r="X81" s="90"/>
      <c r="Y81" s="87"/>
      <c r="Z81" s="88" t="s">
        <v>16</v>
      </c>
      <c r="AA81" s="88" t="s">
        <v>16</v>
      </c>
      <c r="AB81" s="89" t="s">
        <v>16</v>
      </c>
      <c r="AC81" s="90"/>
      <c r="AD81" s="87"/>
      <c r="AE81" s="89" t="s">
        <v>16</v>
      </c>
      <c r="AF81" s="90"/>
      <c r="AG81" s="87"/>
      <c r="AH81" s="91" t="s">
        <v>16</v>
      </c>
      <c r="AI81" s="86" t="s">
        <v>16</v>
      </c>
      <c r="AJ81" s="90"/>
      <c r="AK81" s="87"/>
      <c r="AL81" s="89" t="s">
        <v>16</v>
      </c>
      <c r="AM81" s="87"/>
      <c r="AN81" s="89" t="s">
        <v>16</v>
      </c>
      <c r="AO81" s="87"/>
      <c r="AP81" s="89" t="s">
        <v>16</v>
      </c>
      <c r="AQ81" s="87"/>
      <c r="AR81" s="88" t="s">
        <v>16</v>
      </c>
      <c r="AS81" s="89" t="s">
        <v>16</v>
      </c>
      <c r="AT81" s="92"/>
      <c r="AU81" s="93" t="s">
        <v>16</v>
      </c>
      <c r="AV81" s="88" t="s">
        <v>16</v>
      </c>
      <c r="AW81" s="89" t="s">
        <v>16</v>
      </c>
      <c r="AX81" s="87"/>
      <c r="AY81" s="89" t="s">
        <v>16</v>
      </c>
      <c r="AZ81" s="90"/>
      <c r="BA81" s="87"/>
      <c r="BB81" s="89" t="s">
        <v>16</v>
      </c>
      <c r="BC81" s="87"/>
      <c r="BD81" s="91" t="s">
        <v>16</v>
      </c>
      <c r="BE81" s="86" t="s">
        <v>16</v>
      </c>
      <c r="BF81" s="90"/>
      <c r="BG81" s="90"/>
      <c r="BH81" s="87"/>
      <c r="BI81" s="88" t="s">
        <v>16</v>
      </c>
      <c r="BJ81" s="88" t="s">
        <v>16</v>
      </c>
      <c r="BK81" s="89" t="s">
        <v>16</v>
      </c>
      <c r="BL81" s="87"/>
      <c r="BM81" s="89" t="s">
        <v>16</v>
      </c>
      <c r="BN81" s="87"/>
      <c r="BO81" s="89" t="s">
        <v>16</v>
      </c>
      <c r="BP81" s="90"/>
      <c r="BQ81" s="90"/>
      <c r="BR81" s="92"/>
      <c r="BS81" s="94">
        <f t="shared" si="2"/>
        <v>0</v>
      </c>
      <c r="BT81" s="95"/>
      <c r="BU81" s="96"/>
      <c r="BV81" s="94">
        <f t="shared" si="3"/>
        <v>0</v>
      </c>
      <c r="BW81" s="95"/>
      <c r="BX81" s="95"/>
      <c r="BY81" s="96"/>
      <c r="BZ81" s="97"/>
      <c r="CA81" s="98"/>
      <c r="CB81" s="98"/>
      <c r="CC81" s="98"/>
      <c r="CD81" s="98"/>
      <c r="CE81" s="98"/>
      <c r="CF81" s="98"/>
      <c r="CG81" s="99"/>
    </row>
    <row r="82" spans="1:85">
      <c r="A82" s="80">
        <v>8</v>
      </c>
      <c r="B82" s="81"/>
      <c r="C82" s="81"/>
      <c r="D82" s="81"/>
      <c r="E82" s="81"/>
      <c r="F82" s="82"/>
      <c r="G82" s="83" t="str">
        <f>IFERROR(INDEX([1]INPUT_DATA_Learners!T:T,MATCH(#REF!,[1]INPUT_DATA_Learners!$A:$A,0)),"")</f>
        <v/>
      </c>
      <c r="H82" s="84"/>
      <c r="I82" s="84"/>
      <c r="J82" s="85"/>
      <c r="K82" s="86" t="s">
        <v>16</v>
      </c>
      <c r="L82" s="87"/>
      <c r="M82" s="88" t="s">
        <v>16</v>
      </c>
      <c r="N82" s="88" t="s">
        <v>16</v>
      </c>
      <c r="O82" s="89" t="s">
        <v>16</v>
      </c>
      <c r="P82" s="90"/>
      <c r="Q82" s="90"/>
      <c r="R82" s="87"/>
      <c r="S82" s="89" t="s">
        <v>16</v>
      </c>
      <c r="T82" s="90"/>
      <c r="U82" s="87"/>
      <c r="V82" s="91" t="s">
        <v>16</v>
      </c>
      <c r="W82" s="86" t="s">
        <v>16</v>
      </c>
      <c r="X82" s="90"/>
      <c r="Y82" s="87"/>
      <c r="Z82" s="88" t="s">
        <v>16</v>
      </c>
      <c r="AA82" s="88" t="s">
        <v>16</v>
      </c>
      <c r="AB82" s="89" t="s">
        <v>16</v>
      </c>
      <c r="AC82" s="90"/>
      <c r="AD82" s="87"/>
      <c r="AE82" s="89" t="s">
        <v>16</v>
      </c>
      <c r="AF82" s="90"/>
      <c r="AG82" s="87"/>
      <c r="AH82" s="91" t="s">
        <v>16</v>
      </c>
      <c r="AI82" s="86" t="s">
        <v>16</v>
      </c>
      <c r="AJ82" s="90"/>
      <c r="AK82" s="87"/>
      <c r="AL82" s="89" t="s">
        <v>16</v>
      </c>
      <c r="AM82" s="87"/>
      <c r="AN82" s="89" t="s">
        <v>16</v>
      </c>
      <c r="AO82" s="87"/>
      <c r="AP82" s="89" t="s">
        <v>16</v>
      </c>
      <c r="AQ82" s="87"/>
      <c r="AR82" s="88" t="s">
        <v>16</v>
      </c>
      <c r="AS82" s="89" t="s">
        <v>16</v>
      </c>
      <c r="AT82" s="92"/>
      <c r="AU82" s="93" t="s">
        <v>16</v>
      </c>
      <c r="AV82" s="88" t="s">
        <v>16</v>
      </c>
      <c r="AW82" s="89" t="s">
        <v>16</v>
      </c>
      <c r="AX82" s="87"/>
      <c r="AY82" s="89" t="s">
        <v>16</v>
      </c>
      <c r="AZ82" s="90"/>
      <c r="BA82" s="87"/>
      <c r="BB82" s="89" t="s">
        <v>16</v>
      </c>
      <c r="BC82" s="87"/>
      <c r="BD82" s="91" t="s">
        <v>16</v>
      </c>
      <c r="BE82" s="86" t="s">
        <v>16</v>
      </c>
      <c r="BF82" s="90"/>
      <c r="BG82" s="90"/>
      <c r="BH82" s="87"/>
      <c r="BI82" s="88" t="s">
        <v>16</v>
      </c>
      <c r="BJ82" s="88" t="s">
        <v>16</v>
      </c>
      <c r="BK82" s="89" t="s">
        <v>16</v>
      </c>
      <c r="BL82" s="87"/>
      <c r="BM82" s="89" t="s">
        <v>16</v>
      </c>
      <c r="BN82" s="87"/>
      <c r="BO82" s="89" t="s">
        <v>16</v>
      </c>
      <c r="BP82" s="90"/>
      <c r="BQ82" s="90"/>
      <c r="BR82" s="92"/>
      <c r="BS82" s="94">
        <f t="shared" si="2"/>
        <v>0</v>
      </c>
      <c r="BT82" s="95"/>
      <c r="BU82" s="96"/>
      <c r="BV82" s="94">
        <f t="shared" si="3"/>
        <v>0</v>
      </c>
      <c r="BW82" s="95"/>
      <c r="BX82" s="95"/>
      <c r="BY82" s="96"/>
      <c r="BZ82" s="97"/>
      <c r="CA82" s="98"/>
      <c r="CB82" s="98"/>
      <c r="CC82" s="98"/>
      <c r="CD82" s="98"/>
      <c r="CE82" s="98"/>
      <c r="CF82" s="98"/>
      <c r="CG82" s="99"/>
    </row>
    <row r="83" spans="1:85">
      <c r="A83" s="80">
        <v>9</v>
      </c>
      <c r="B83" s="81"/>
      <c r="C83" s="81"/>
      <c r="D83" s="81"/>
      <c r="E83" s="81"/>
      <c r="F83" s="82"/>
      <c r="G83" s="83" t="str">
        <f>IFERROR(INDEX([1]INPUT_DATA_Learners!T:T,MATCH(#REF!,[1]INPUT_DATA_Learners!$A:$A,0)),"")</f>
        <v/>
      </c>
      <c r="H83" s="84"/>
      <c r="I83" s="84"/>
      <c r="J83" s="85"/>
      <c r="K83" s="86" t="s">
        <v>16</v>
      </c>
      <c r="L83" s="87"/>
      <c r="M83" s="88" t="s">
        <v>16</v>
      </c>
      <c r="N83" s="88" t="s">
        <v>16</v>
      </c>
      <c r="O83" s="89" t="s">
        <v>16</v>
      </c>
      <c r="P83" s="90"/>
      <c r="Q83" s="90"/>
      <c r="R83" s="87"/>
      <c r="S83" s="89" t="s">
        <v>16</v>
      </c>
      <c r="T83" s="90"/>
      <c r="U83" s="87"/>
      <c r="V83" s="91" t="s">
        <v>16</v>
      </c>
      <c r="W83" s="86" t="s">
        <v>16</v>
      </c>
      <c r="X83" s="90"/>
      <c r="Y83" s="87"/>
      <c r="Z83" s="88" t="s">
        <v>16</v>
      </c>
      <c r="AA83" s="88" t="s">
        <v>16</v>
      </c>
      <c r="AB83" s="89" t="s">
        <v>16</v>
      </c>
      <c r="AC83" s="90"/>
      <c r="AD83" s="87"/>
      <c r="AE83" s="89" t="s">
        <v>16</v>
      </c>
      <c r="AF83" s="90"/>
      <c r="AG83" s="87"/>
      <c r="AH83" s="91" t="s">
        <v>16</v>
      </c>
      <c r="AI83" s="86" t="s">
        <v>16</v>
      </c>
      <c r="AJ83" s="90"/>
      <c r="AK83" s="87"/>
      <c r="AL83" s="89" t="s">
        <v>16</v>
      </c>
      <c r="AM83" s="87"/>
      <c r="AN83" s="89" t="s">
        <v>16</v>
      </c>
      <c r="AO83" s="87"/>
      <c r="AP83" s="89" t="s">
        <v>16</v>
      </c>
      <c r="AQ83" s="87"/>
      <c r="AR83" s="88" t="s">
        <v>16</v>
      </c>
      <c r="AS83" s="89" t="s">
        <v>16</v>
      </c>
      <c r="AT83" s="92"/>
      <c r="AU83" s="93" t="s">
        <v>16</v>
      </c>
      <c r="AV83" s="88" t="s">
        <v>16</v>
      </c>
      <c r="AW83" s="89" t="s">
        <v>16</v>
      </c>
      <c r="AX83" s="87"/>
      <c r="AY83" s="89" t="s">
        <v>16</v>
      </c>
      <c r="AZ83" s="90"/>
      <c r="BA83" s="87"/>
      <c r="BB83" s="89" t="s">
        <v>16</v>
      </c>
      <c r="BC83" s="87"/>
      <c r="BD83" s="91" t="s">
        <v>16</v>
      </c>
      <c r="BE83" s="86" t="s">
        <v>16</v>
      </c>
      <c r="BF83" s="90"/>
      <c r="BG83" s="90"/>
      <c r="BH83" s="87"/>
      <c r="BI83" s="88" t="s">
        <v>16</v>
      </c>
      <c r="BJ83" s="88" t="s">
        <v>16</v>
      </c>
      <c r="BK83" s="89" t="s">
        <v>16</v>
      </c>
      <c r="BL83" s="87"/>
      <c r="BM83" s="89" t="s">
        <v>16</v>
      </c>
      <c r="BN83" s="87"/>
      <c r="BO83" s="89" t="s">
        <v>16</v>
      </c>
      <c r="BP83" s="90"/>
      <c r="BQ83" s="90"/>
      <c r="BR83" s="92"/>
      <c r="BS83" s="94">
        <f t="shared" si="2"/>
        <v>0</v>
      </c>
      <c r="BT83" s="95"/>
      <c r="BU83" s="96"/>
      <c r="BV83" s="94">
        <f t="shared" si="3"/>
        <v>0</v>
      </c>
      <c r="BW83" s="95"/>
      <c r="BX83" s="95"/>
      <c r="BY83" s="96"/>
      <c r="BZ83" s="97"/>
      <c r="CA83" s="98"/>
      <c r="CB83" s="98"/>
      <c r="CC83" s="98"/>
      <c r="CD83" s="98"/>
      <c r="CE83" s="98"/>
      <c r="CF83" s="98"/>
      <c r="CG83" s="99"/>
    </row>
    <row r="84" spans="1:85">
      <c r="A84" s="80">
        <v>10</v>
      </c>
      <c r="B84" s="81"/>
      <c r="C84" s="81"/>
      <c r="D84" s="81"/>
      <c r="E84" s="81"/>
      <c r="F84" s="82"/>
      <c r="G84" s="83" t="str">
        <f>IFERROR(INDEX([1]INPUT_DATA_Learners!T:T,MATCH(#REF!,[1]INPUT_DATA_Learners!$A:$A,0)),"")</f>
        <v/>
      </c>
      <c r="H84" s="84"/>
      <c r="I84" s="84"/>
      <c r="J84" s="85"/>
      <c r="K84" s="86" t="s">
        <v>16</v>
      </c>
      <c r="L84" s="87"/>
      <c r="M84" s="88" t="s">
        <v>16</v>
      </c>
      <c r="N84" s="88" t="s">
        <v>16</v>
      </c>
      <c r="O84" s="89" t="s">
        <v>16</v>
      </c>
      <c r="P84" s="90"/>
      <c r="Q84" s="90"/>
      <c r="R84" s="87"/>
      <c r="S84" s="89" t="s">
        <v>16</v>
      </c>
      <c r="T84" s="90"/>
      <c r="U84" s="87"/>
      <c r="V84" s="91" t="s">
        <v>16</v>
      </c>
      <c r="W84" s="86" t="s">
        <v>16</v>
      </c>
      <c r="X84" s="90"/>
      <c r="Y84" s="87"/>
      <c r="Z84" s="88" t="s">
        <v>16</v>
      </c>
      <c r="AA84" s="88" t="s">
        <v>16</v>
      </c>
      <c r="AB84" s="89" t="s">
        <v>16</v>
      </c>
      <c r="AC84" s="90"/>
      <c r="AD84" s="87"/>
      <c r="AE84" s="89" t="s">
        <v>16</v>
      </c>
      <c r="AF84" s="90"/>
      <c r="AG84" s="87"/>
      <c r="AH84" s="91" t="s">
        <v>16</v>
      </c>
      <c r="AI84" s="86" t="s">
        <v>16</v>
      </c>
      <c r="AJ84" s="90"/>
      <c r="AK84" s="87"/>
      <c r="AL84" s="89" t="s">
        <v>16</v>
      </c>
      <c r="AM84" s="87"/>
      <c r="AN84" s="89" t="s">
        <v>16</v>
      </c>
      <c r="AO84" s="87"/>
      <c r="AP84" s="89" t="s">
        <v>16</v>
      </c>
      <c r="AQ84" s="87"/>
      <c r="AR84" s="88" t="s">
        <v>16</v>
      </c>
      <c r="AS84" s="89" t="s">
        <v>16</v>
      </c>
      <c r="AT84" s="92"/>
      <c r="AU84" s="93" t="s">
        <v>16</v>
      </c>
      <c r="AV84" s="88" t="s">
        <v>16</v>
      </c>
      <c r="AW84" s="89" t="s">
        <v>16</v>
      </c>
      <c r="AX84" s="87"/>
      <c r="AY84" s="89" t="s">
        <v>16</v>
      </c>
      <c r="AZ84" s="90"/>
      <c r="BA84" s="87"/>
      <c r="BB84" s="89" t="s">
        <v>16</v>
      </c>
      <c r="BC84" s="87"/>
      <c r="BD84" s="91" t="s">
        <v>16</v>
      </c>
      <c r="BE84" s="86" t="s">
        <v>16</v>
      </c>
      <c r="BF84" s="90"/>
      <c r="BG84" s="90"/>
      <c r="BH84" s="87"/>
      <c r="BI84" s="88" t="s">
        <v>16</v>
      </c>
      <c r="BJ84" s="88" t="s">
        <v>16</v>
      </c>
      <c r="BK84" s="89" t="s">
        <v>16</v>
      </c>
      <c r="BL84" s="87"/>
      <c r="BM84" s="89" t="s">
        <v>16</v>
      </c>
      <c r="BN84" s="87"/>
      <c r="BO84" s="89" t="s">
        <v>16</v>
      </c>
      <c r="BP84" s="90"/>
      <c r="BQ84" s="90"/>
      <c r="BR84" s="92"/>
      <c r="BS84" s="94">
        <f t="shared" si="2"/>
        <v>0</v>
      </c>
      <c r="BT84" s="95"/>
      <c r="BU84" s="96"/>
      <c r="BV84" s="94">
        <f t="shared" si="3"/>
        <v>0</v>
      </c>
      <c r="BW84" s="95"/>
      <c r="BX84" s="95"/>
      <c r="BY84" s="96"/>
      <c r="BZ84" s="97"/>
      <c r="CA84" s="98"/>
      <c r="CB84" s="98"/>
      <c r="CC84" s="98"/>
      <c r="CD84" s="98"/>
      <c r="CE84" s="98"/>
      <c r="CF84" s="98"/>
      <c r="CG84" s="99"/>
    </row>
    <row r="85" spans="1:85">
      <c r="A85" s="80">
        <v>11</v>
      </c>
      <c r="B85" s="81"/>
      <c r="C85" s="81"/>
      <c r="D85" s="81"/>
      <c r="E85" s="81"/>
      <c r="F85" s="82"/>
      <c r="G85" s="83" t="str">
        <f>IFERROR(INDEX([1]INPUT_DATA_Learners!T:T,MATCH(#REF!,[1]INPUT_DATA_Learners!$A:$A,0)),"")</f>
        <v/>
      </c>
      <c r="H85" s="84"/>
      <c r="I85" s="84"/>
      <c r="J85" s="85"/>
      <c r="K85" s="86" t="s">
        <v>16</v>
      </c>
      <c r="L85" s="87"/>
      <c r="M85" s="88" t="s">
        <v>16</v>
      </c>
      <c r="N85" s="88" t="s">
        <v>16</v>
      </c>
      <c r="O85" s="89" t="s">
        <v>16</v>
      </c>
      <c r="P85" s="90"/>
      <c r="Q85" s="90"/>
      <c r="R85" s="87"/>
      <c r="S85" s="89" t="s">
        <v>16</v>
      </c>
      <c r="T85" s="90"/>
      <c r="U85" s="87"/>
      <c r="V85" s="91" t="s">
        <v>16</v>
      </c>
      <c r="W85" s="86" t="s">
        <v>16</v>
      </c>
      <c r="X85" s="90"/>
      <c r="Y85" s="87"/>
      <c r="Z85" s="88" t="s">
        <v>16</v>
      </c>
      <c r="AA85" s="88" t="s">
        <v>16</v>
      </c>
      <c r="AB85" s="89" t="s">
        <v>16</v>
      </c>
      <c r="AC85" s="90"/>
      <c r="AD85" s="87"/>
      <c r="AE85" s="89" t="s">
        <v>16</v>
      </c>
      <c r="AF85" s="90"/>
      <c r="AG85" s="87"/>
      <c r="AH85" s="91" t="s">
        <v>16</v>
      </c>
      <c r="AI85" s="86" t="s">
        <v>16</v>
      </c>
      <c r="AJ85" s="90"/>
      <c r="AK85" s="87"/>
      <c r="AL85" s="89" t="s">
        <v>16</v>
      </c>
      <c r="AM85" s="87"/>
      <c r="AN85" s="89" t="s">
        <v>16</v>
      </c>
      <c r="AO85" s="87"/>
      <c r="AP85" s="89" t="s">
        <v>16</v>
      </c>
      <c r="AQ85" s="87"/>
      <c r="AR85" s="88" t="s">
        <v>16</v>
      </c>
      <c r="AS85" s="89" t="s">
        <v>16</v>
      </c>
      <c r="AT85" s="92"/>
      <c r="AU85" s="93" t="s">
        <v>16</v>
      </c>
      <c r="AV85" s="88" t="s">
        <v>16</v>
      </c>
      <c r="AW85" s="89" t="s">
        <v>16</v>
      </c>
      <c r="AX85" s="87"/>
      <c r="AY85" s="89" t="s">
        <v>16</v>
      </c>
      <c r="AZ85" s="90"/>
      <c r="BA85" s="87"/>
      <c r="BB85" s="89" t="s">
        <v>16</v>
      </c>
      <c r="BC85" s="87"/>
      <c r="BD85" s="91" t="s">
        <v>16</v>
      </c>
      <c r="BE85" s="86" t="s">
        <v>16</v>
      </c>
      <c r="BF85" s="90"/>
      <c r="BG85" s="90"/>
      <c r="BH85" s="87"/>
      <c r="BI85" s="88" t="s">
        <v>16</v>
      </c>
      <c r="BJ85" s="88" t="s">
        <v>16</v>
      </c>
      <c r="BK85" s="89" t="s">
        <v>16</v>
      </c>
      <c r="BL85" s="87"/>
      <c r="BM85" s="89" t="s">
        <v>16</v>
      </c>
      <c r="BN85" s="87"/>
      <c r="BO85" s="89" t="s">
        <v>16</v>
      </c>
      <c r="BP85" s="90"/>
      <c r="BQ85" s="90"/>
      <c r="BR85" s="92"/>
      <c r="BS85" s="94">
        <f>COUNTIF(K85:BO85,"X")</f>
        <v>0</v>
      </c>
      <c r="BT85" s="95"/>
      <c r="BU85" s="96"/>
      <c r="BV85" s="94">
        <f>$CA$134-BS85</f>
        <v>0</v>
      </c>
      <c r="BW85" s="95"/>
      <c r="BX85" s="95"/>
      <c r="BY85" s="96"/>
      <c r="BZ85" s="97"/>
      <c r="CA85" s="98"/>
      <c r="CB85" s="98"/>
      <c r="CC85" s="98"/>
      <c r="CD85" s="98"/>
      <c r="CE85" s="98"/>
      <c r="CF85" s="98"/>
      <c r="CG85" s="99"/>
    </row>
    <row r="86" spans="1:85">
      <c r="A86" s="80">
        <v>12</v>
      </c>
      <c r="B86" s="81"/>
      <c r="C86" s="81"/>
      <c r="D86" s="81"/>
      <c r="E86" s="81"/>
      <c r="F86" s="82"/>
      <c r="G86" s="83" t="str">
        <f>IFERROR(INDEX([1]INPUT_DATA_Learners!T:T,MATCH(#REF!,[1]INPUT_DATA_Learners!$A:$A,0)),"")</f>
        <v/>
      </c>
      <c r="H86" s="84"/>
      <c r="I86" s="84"/>
      <c r="J86" s="85"/>
      <c r="K86" s="86" t="s">
        <v>16</v>
      </c>
      <c r="L86" s="87"/>
      <c r="M86" s="88" t="s">
        <v>16</v>
      </c>
      <c r="N86" s="88" t="s">
        <v>16</v>
      </c>
      <c r="O86" s="89" t="s">
        <v>16</v>
      </c>
      <c r="P86" s="90"/>
      <c r="Q86" s="90"/>
      <c r="R86" s="87"/>
      <c r="S86" s="89" t="s">
        <v>16</v>
      </c>
      <c r="T86" s="90"/>
      <c r="U86" s="87"/>
      <c r="V86" s="91" t="s">
        <v>16</v>
      </c>
      <c r="W86" s="86" t="s">
        <v>16</v>
      </c>
      <c r="X86" s="90"/>
      <c r="Y86" s="87"/>
      <c r="Z86" s="88" t="s">
        <v>16</v>
      </c>
      <c r="AA86" s="88" t="s">
        <v>16</v>
      </c>
      <c r="AB86" s="89" t="s">
        <v>16</v>
      </c>
      <c r="AC86" s="90"/>
      <c r="AD86" s="87"/>
      <c r="AE86" s="89" t="s">
        <v>16</v>
      </c>
      <c r="AF86" s="90"/>
      <c r="AG86" s="87"/>
      <c r="AH86" s="91" t="s">
        <v>16</v>
      </c>
      <c r="AI86" s="86" t="s">
        <v>16</v>
      </c>
      <c r="AJ86" s="90"/>
      <c r="AK86" s="87"/>
      <c r="AL86" s="89" t="s">
        <v>16</v>
      </c>
      <c r="AM86" s="87"/>
      <c r="AN86" s="89" t="s">
        <v>16</v>
      </c>
      <c r="AO86" s="87"/>
      <c r="AP86" s="89" t="s">
        <v>16</v>
      </c>
      <c r="AQ86" s="87"/>
      <c r="AR86" s="88" t="s">
        <v>16</v>
      </c>
      <c r="AS86" s="89" t="s">
        <v>16</v>
      </c>
      <c r="AT86" s="92"/>
      <c r="AU86" s="93" t="s">
        <v>16</v>
      </c>
      <c r="AV86" s="88" t="s">
        <v>16</v>
      </c>
      <c r="AW86" s="89" t="s">
        <v>16</v>
      </c>
      <c r="AX86" s="87"/>
      <c r="AY86" s="89" t="s">
        <v>16</v>
      </c>
      <c r="AZ86" s="90"/>
      <c r="BA86" s="87"/>
      <c r="BB86" s="89" t="s">
        <v>16</v>
      </c>
      <c r="BC86" s="87"/>
      <c r="BD86" s="91" t="s">
        <v>16</v>
      </c>
      <c r="BE86" s="86" t="s">
        <v>16</v>
      </c>
      <c r="BF86" s="90"/>
      <c r="BG86" s="90"/>
      <c r="BH86" s="87"/>
      <c r="BI86" s="88" t="s">
        <v>16</v>
      </c>
      <c r="BJ86" s="88" t="s">
        <v>16</v>
      </c>
      <c r="BK86" s="89" t="s">
        <v>16</v>
      </c>
      <c r="BL86" s="87"/>
      <c r="BM86" s="89" t="s">
        <v>16</v>
      </c>
      <c r="BN86" s="87"/>
      <c r="BO86" s="89" t="s">
        <v>16</v>
      </c>
      <c r="BP86" s="90"/>
      <c r="BQ86" s="90"/>
      <c r="BR86" s="92"/>
      <c r="BS86" s="94">
        <f t="shared" ref="BS86:BS92" si="4">COUNTIF(K86:BO86,"X")</f>
        <v>0</v>
      </c>
      <c r="BT86" s="95"/>
      <c r="BU86" s="96"/>
      <c r="BV86" s="94">
        <f t="shared" ref="BV86:BV92" si="5">$CA$134-BS86</f>
        <v>0</v>
      </c>
      <c r="BW86" s="95"/>
      <c r="BX86" s="95"/>
      <c r="BY86" s="96"/>
      <c r="BZ86" s="97"/>
      <c r="CA86" s="98"/>
      <c r="CB86" s="98"/>
      <c r="CC86" s="98"/>
      <c r="CD86" s="98"/>
      <c r="CE86" s="98"/>
      <c r="CF86" s="98"/>
      <c r="CG86" s="99"/>
    </row>
    <row r="87" spans="1:85">
      <c r="A87" s="80">
        <v>13</v>
      </c>
      <c r="B87" s="81"/>
      <c r="C87" s="81"/>
      <c r="D87" s="81"/>
      <c r="E87" s="81"/>
      <c r="F87" s="82"/>
      <c r="G87" s="83" t="str">
        <f>IFERROR(INDEX([1]INPUT_DATA_Learners!T:T,MATCH(#REF!,[1]INPUT_DATA_Learners!$A:$A,0)),"")</f>
        <v/>
      </c>
      <c r="H87" s="84"/>
      <c r="I87" s="84"/>
      <c r="J87" s="85"/>
      <c r="K87" s="86" t="s">
        <v>16</v>
      </c>
      <c r="L87" s="87"/>
      <c r="M87" s="88" t="s">
        <v>16</v>
      </c>
      <c r="N87" s="88" t="s">
        <v>16</v>
      </c>
      <c r="O87" s="89" t="s">
        <v>16</v>
      </c>
      <c r="P87" s="90"/>
      <c r="Q87" s="90"/>
      <c r="R87" s="87"/>
      <c r="S87" s="89" t="s">
        <v>16</v>
      </c>
      <c r="T87" s="90"/>
      <c r="U87" s="87"/>
      <c r="V87" s="91" t="s">
        <v>16</v>
      </c>
      <c r="W87" s="86" t="s">
        <v>16</v>
      </c>
      <c r="X87" s="90"/>
      <c r="Y87" s="87"/>
      <c r="Z87" s="88" t="s">
        <v>16</v>
      </c>
      <c r="AA87" s="88" t="s">
        <v>16</v>
      </c>
      <c r="AB87" s="89" t="s">
        <v>16</v>
      </c>
      <c r="AC87" s="90"/>
      <c r="AD87" s="87"/>
      <c r="AE87" s="89" t="s">
        <v>16</v>
      </c>
      <c r="AF87" s="90"/>
      <c r="AG87" s="87"/>
      <c r="AH87" s="91" t="s">
        <v>16</v>
      </c>
      <c r="AI87" s="86" t="s">
        <v>16</v>
      </c>
      <c r="AJ87" s="90"/>
      <c r="AK87" s="87"/>
      <c r="AL87" s="89" t="s">
        <v>16</v>
      </c>
      <c r="AM87" s="87"/>
      <c r="AN87" s="89" t="s">
        <v>16</v>
      </c>
      <c r="AO87" s="87"/>
      <c r="AP87" s="89" t="s">
        <v>16</v>
      </c>
      <c r="AQ87" s="87"/>
      <c r="AR87" s="88" t="s">
        <v>16</v>
      </c>
      <c r="AS87" s="89" t="s">
        <v>16</v>
      </c>
      <c r="AT87" s="92"/>
      <c r="AU87" s="93" t="s">
        <v>16</v>
      </c>
      <c r="AV87" s="88" t="s">
        <v>16</v>
      </c>
      <c r="AW87" s="89" t="s">
        <v>16</v>
      </c>
      <c r="AX87" s="87"/>
      <c r="AY87" s="89" t="s">
        <v>16</v>
      </c>
      <c r="AZ87" s="90"/>
      <c r="BA87" s="87"/>
      <c r="BB87" s="89" t="s">
        <v>16</v>
      </c>
      <c r="BC87" s="87"/>
      <c r="BD87" s="91" t="s">
        <v>16</v>
      </c>
      <c r="BE87" s="86" t="s">
        <v>16</v>
      </c>
      <c r="BF87" s="90"/>
      <c r="BG87" s="90"/>
      <c r="BH87" s="87"/>
      <c r="BI87" s="88" t="s">
        <v>16</v>
      </c>
      <c r="BJ87" s="88" t="s">
        <v>16</v>
      </c>
      <c r="BK87" s="89" t="s">
        <v>16</v>
      </c>
      <c r="BL87" s="87"/>
      <c r="BM87" s="89" t="s">
        <v>16</v>
      </c>
      <c r="BN87" s="87"/>
      <c r="BO87" s="89" t="s">
        <v>16</v>
      </c>
      <c r="BP87" s="90"/>
      <c r="BQ87" s="90"/>
      <c r="BR87" s="92"/>
      <c r="BS87" s="94">
        <f t="shared" si="4"/>
        <v>0</v>
      </c>
      <c r="BT87" s="95"/>
      <c r="BU87" s="96"/>
      <c r="BV87" s="94">
        <f t="shared" si="5"/>
        <v>0</v>
      </c>
      <c r="BW87" s="95"/>
      <c r="BX87" s="95"/>
      <c r="BY87" s="96"/>
      <c r="BZ87" s="97"/>
      <c r="CA87" s="98"/>
      <c r="CB87" s="98"/>
      <c r="CC87" s="98"/>
      <c r="CD87" s="98"/>
      <c r="CE87" s="98"/>
      <c r="CF87" s="98"/>
      <c r="CG87" s="99"/>
    </row>
    <row r="88" spans="1:85">
      <c r="A88" s="80">
        <v>14</v>
      </c>
      <c r="B88" s="81"/>
      <c r="C88" s="81"/>
      <c r="D88" s="81"/>
      <c r="E88" s="81"/>
      <c r="F88" s="82"/>
      <c r="G88" s="83" t="str">
        <f>IFERROR(INDEX([1]INPUT_DATA_Learners!T:T,MATCH(#REF!,[1]INPUT_DATA_Learners!$A:$A,0)),"")</f>
        <v/>
      </c>
      <c r="H88" s="84"/>
      <c r="I88" s="84"/>
      <c r="J88" s="85"/>
      <c r="K88" s="86" t="s">
        <v>16</v>
      </c>
      <c r="L88" s="87"/>
      <c r="M88" s="88" t="s">
        <v>16</v>
      </c>
      <c r="N88" s="88" t="s">
        <v>16</v>
      </c>
      <c r="O88" s="89" t="s">
        <v>16</v>
      </c>
      <c r="P88" s="90"/>
      <c r="Q88" s="90"/>
      <c r="R88" s="87"/>
      <c r="S88" s="89" t="s">
        <v>16</v>
      </c>
      <c r="T88" s="90"/>
      <c r="U88" s="87"/>
      <c r="V88" s="91" t="s">
        <v>16</v>
      </c>
      <c r="W88" s="86" t="s">
        <v>16</v>
      </c>
      <c r="X88" s="90"/>
      <c r="Y88" s="87"/>
      <c r="Z88" s="88" t="s">
        <v>16</v>
      </c>
      <c r="AA88" s="88" t="s">
        <v>16</v>
      </c>
      <c r="AB88" s="89" t="s">
        <v>16</v>
      </c>
      <c r="AC88" s="90"/>
      <c r="AD88" s="87"/>
      <c r="AE88" s="89" t="s">
        <v>16</v>
      </c>
      <c r="AF88" s="90"/>
      <c r="AG88" s="87"/>
      <c r="AH88" s="91" t="s">
        <v>16</v>
      </c>
      <c r="AI88" s="86" t="s">
        <v>16</v>
      </c>
      <c r="AJ88" s="90"/>
      <c r="AK88" s="87"/>
      <c r="AL88" s="89" t="s">
        <v>16</v>
      </c>
      <c r="AM88" s="87"/>
      <c r="AN88" s="89" t="s">
        <v>16</v>
      </c>
      <c r="AO88" s="87"/>
      <c r="AP88" s="89" t="s">
        <v>16</v>
      </c>
      <c r="AQ88" s="87"/>
      <c r="AR88" s="88" t="s">
        <v>16</v>
      </c>
      <c r="AS88" s="89" t="s">
        <v>16</v>
      </c>
      <c r="AT88" s="92"/>
      <c r="AU88" s="93" t="s">
        <v>16</v>
      </c>
      <c r="AV88" s="88" t="s">
        <v>16</v>
      </c>
      <c r="AW88" s="89" t="s">
        <v>16</v>
      </c>
      <c r="AX88" s="87"/>
      <c r="AY88" s="89" t="s">
        <v>16</v>
      </c>
      <c r="AZ88" s="90"/>
      <c r="BA88" s="87"/>
      <c r="BB88" s="89" t="s">
        <v>16</v>
      </c>
      <c r="BC88" s="87"/>
      <c r="BD88" s="91" t="s">
        <v>16</v>
      </c>
      <c r="BE88" s="86" t="s">
        <v>16</v>
      </c>
      <c r="BF88" s="90"/>
      <c r="BG88" s="90"/>
      <c r="BH88" s="87"/>
      <c r="BI88" s="88" t="s">
        <v>16</v>
      </c>
      <c r="BJ88" s="88" t="s">
        <v>16</v>
      </c>
      <c r="BK88" s="89" t="s">
        <v>16</v>
      </c>
      <c r="BL88" s="87"/>
      <c r="BM88" s="89" t="s">
        <v>16</v>
      </c>
      <c r="BN88" s="87"/>
      <c r="BO88" s="89" t="s">
        <v>16</v>
      </c>
      <c r="BP88" s="90"/>
      <c r="BQ88" s="90"/>
      <c r="BR88" s="92"/>
      <c r="BS88" s="94">
        <f t="shared" si="4"/>
        <v>0</v>
      </c>
      <c r="BT88" s="95"/>
      <c r="BU88" s="96"/>
      <c r="BV88" s="94">
        <f t="shared" si="5"/>
        <v>0</v>
      </c>
      <c r="BW88" s="95"/>
      <c r="BX88" s="95"/>
      <c r="BY88" s="96"/>
      <c r="BZ88" s="97"/>
      <c r="CA88" s="98"/>
      <c r="CB88" s="98"/>
      <c r="CC88" s="98"/>
      <c r="CD88" s="98"/>
      <c r="CE88" s="98"/>
      <c r="CF88" s="98"/>
      <c r="CG88" s="99"/>
    </row>
    <row r="89" spans="1:85">
      <c r="A89" s="80">
        <v>15</v>
      </c>
      <c r="B89" s="81"/>
      <c r="C89" s="81"/>
      <c r="D89" s="81"/>
      <c r="E89" s="81"/>
      <c r="F89" s="82"/>
      <c r="G89" s="83" t="str">
        <f>IFERROR(INDEX([1]INPUT_DATA_Learners!T:T,MATCH(#REF!,[1]INPUT_DATA_Learners!$A:$A,0)),"")</f>
        <v/>
      </c>
      <c r="H89" s="84"/>
      <c r="I89" s="84"/>
      <c r="J89" s="85"/>
      <c r="K89" s="86" t="s">
        <v>16</v>
      </c>
      <c r="L89" s="87"/>
      <c r="M89" s="88" t="s">
        <v>16</v>
      </c>
      <c r="N89" s="88" t="s">
        <v>16</v>
      </c>
      <c r="O89" s="89" t="s">
        <v>16</v>
      </c>
      <c r="P89" s="90"/>
      <c r="Q89" s="90"/>
      <c r="R89" s="87"/>
      <c r="S89" s="89" t="s">
        <v>16</v>
      </c>
      <c r="T89" s="90"/>
      <c r="U89" s="87"/>
      <c r="V89" s="91" t="s">
        <v>16</v>
      </c>
      <c r="W89" s="86" t="s">
        <v>16</v>
      </c>
      <c r="X89" s="90"/>
      <c r="Y89" s="87"/>
      <c r="Z89" s="88" t="s">
        <v>16</v>
      </c>
      <c r="AA89" s="88" t="s">
        <v>16</v>
      </c>
      <c r="AB89" s="89" t="s">
        <v>16</v>
      </c>
      <c r="AC89" s="90"/>
      <c r="AD89" s="87"/>
      <c r="AE89" s="89" t="s">
        <v>16</v>
      </c>
      <c r="AF89" s="90"/>
      <c r="AG89" s="87"/>
      <c r="AH89" s="91" t="s">
        <v>16</v>
      </c>
      <c r="AI89" s="86" t="s">
        <v>16</v>
      </c>
      <c r="AJ89" s="90"/>
      <c r="AK89" s="87"/>
      <c r="AL89" s="89" t="s">
        <v>16</v>
      </c>
      <c r="AM89" s="87"/>
      <c r="AN89" s="89" t="s">
        <v>16</v>
      </c>
      <c r="AO89" s="87"/>
      <c r="AP89" s="89" t="s">
        <v>16</v>
      </c>
      <c r="AQ89" s="87"/>
      <c r="AR89" s="88" t="s">
        <v>16</v>
      </c>
      <c r="AS89" s="89" t="s">
        <v>16</v>
      </c>
      <c r="AT89" s="92"/>
      <c r="AU89" s="93" t="s">
        <v>16</v>
      </c>
      <c r="AV89" s="88" t="s">
        <v>16</v>
      </c>
      <c r="AW89" s="89" t="s">
        <v>16</v>
      </c>
      <c r="AX89" s="87"/>
      <c r="AY89" s="89" t="s">
        <v>16</v>
      </c>
      <c r="AZ89" s="90"/>
      <c r="BA89" s="87"/>
      <c r="BB89" s="89" t="s">
        <v>16</v>
      </c>
      <c r="BC89" s="87"/>
      <c r="BD89" s="91" t="s">
        <v>16</v>
      </c>
      <c r="BE89" s="86" t="s">
        <v>16</v>
      </c>
      <c r="BF89" s="90"/>
      <c r="BG89" s="90"/>
      <c r="BH89" s="87"/>
      <c r="BI89" s="88" t="s">
        <v>16</v>
      </c>
      <c r="BJ89" s="88" t="s">
        <v>16</v>
      </c>
      <c r="BK89" s="89" t="s">
        <v>16</v>
      </c>
      <c r="BL89" s="87"/>
      <c r="BM89" s="89" t="s">
        <v>16</v>
      </c>
      <c r="BN89" s="87"/>
      <c r="BO89" s="89" t="s">
        <v>16</v>
      </c>
      <c r="BP89" s="90"/>
      <c r="BQ89" s="90"/>
      <c r="BR89" s="92"/>
      <c r="BS89" s="94">
        <f t="shared" si="4"/>
        <v>0</v>
      </c>
      <c r="BT89" s="95"/>
      <c r="BU89" s="96"/>
      <c r="BV89" s="94">
        <f t="shared" si="5"/>
        <v>0</v>
      </c>
      <c r="BW89" s="95"/>
      <c r="BX89" s="95"/>
      <c r="BY89" s="96"/>
      <c r="BZ89" s="97"/>
      <c r="CA89" s="98"/>
      <c r="CB89" s="98"/>
      <c r="CC89" s="98"/>
      <c r="CD89" s="98"/>
      <c r="CE89" s="98"/>
      <c r="CF89" s="98"/>
      <c r="CG89" s="99"/>
    </row>
    <row r="90" spans="1:85">
      <c r="A90" s="80">
        <v>16</v>
      </c>
      <c r="B90" s="81"/>
      <c r="C90" s="81"/>
      <c r="D90" s="81"/>
      <c r="E90" s="81"/>
      <c r="F90" s="82"/>
      <c r="G90" s="83" t="str">
        <f>IFERROR(INDEX([1]INPUT_DATA_Learners!T:T,MATCH(#REF!,[1]INPUT_DATA_Learners!$A:$A,0)),"")</f>
        <v/>
      </c>
      <c r="H90" s="84"/>
      <c r="I90" s="84"/>
      <c r="J90" s="85"/>
      <c r="K90" s="86" t="s">
        <v>16</v>
      </c>
      <c r="L90" s="87"/>
      <c r="M90" s="88" t="s">
        <v>16</v>
      </c>
      <c r="N90" s="88" t="s">
        <v>16</v>
      </c>
      <c r="O90" s="89" t="s">
        <v>16</v>
      </c>
      <c r="P90" s="90"/>
      <c r="Q90" s="90"/>
      <c r="R90" s="87"/>
      <c r="S90" s="89" t="s">
        <v>16</v>
      </c>
      <c r="T90" s="90"/>
      <c r="U90" s="87"/>
      <c r="V90" s="91" t="s">
        <v>16</v>
      </c>
      <c r="W90" s="86" t="s">
        <v>16</v>
      </c>
      <c r="X90" s="90"/>
      <c r="Y90" s="87"/>
      <c r="Z90" s="88" t="s">
        <v>16</v>
      </c>
      <c r="AA90" s="88" t="s">
        <v>16</v>
      </c>
      <c r="AB90" s="89" t="s">
        <v>16</v>
      </c>
      <c r="AC90" s="90"/>
      <c r="AD90" s="87"/>
      <c r="AE90" s="89" t="s">
        <v>16</v>
      </c>
      <c r="AF90" s="90"/>
      <c r="AG90" s="87"/>
      <c r="AH90" s="91" t="s">
        <v>16</v>
      </c>
      <c r="AI90" s="86" t="s">
        <v>16</v>
      </c>
      <c r="AJ90" s="90"/>
      <c r="AK90" s="87"/>
      <c r="AL90" s="89" t="s">
        <v>16</v>
      </c>
      <c r="AM90" s="87"/>
      <c r="AN90" s="89" t="s">
        <v>16</v>
      </c>
      <c r="AO90" s="87"/>
      <c r="AP90" s="89" t="s">
        <v>16</v>
      </c>
      <c r="AQ90" s="87"/>
      <c r="AR90" s="88" t="s">
        <v>16</v>
      </c>
      <c r="AS90" s="89" t="s">
        <v>16</v>
      </c>
      <c r="AT90" s="92"/>
      <c r="AU90" s="93" t="s">
        <v>16</v>
      </c>
      <c r="AV90" s="88" t="s">
        <v>16</v>
      </c>
      <c r="AW90" s="89" t="s">
        <v>16</v>
      </c>
      <c r="AX90" s="87"/>
      <c r="AY90" s="89" t="s">
        <v>16</v>
      </c>
      <c r="AZ90" s="90"/>
      <c r="BA90" s="87"/>
      <c r="BB90" s="89" t="s">
        <v>16</v>
      </c>
      <c r="BC90" s="87"/>
      <c r="BD90" s="91" t="s">
        <v>16</v>
      </c>
      <c r="BE90" s="86" t="s">
        <v>16</v>
      </c>
      <c r="BF90" s="90"/>
      <c r="BG90" s="90"/>
      <c r="BH90" s="87"/>
      <c r="BI90" s="88" t="s">
        <v>16</v>
      </c>
      <c r="BJ90" s="88" t="s">
        <v>16</v>
      </c>
      <c r="BK90" s="89" t="s">
        <v>16</v>
      </c>
      <c r="BL90" s="87"/>
      <c r="BM90" s="89" t="s">
        <v>16</v>
      </c>
      <c r="BN90" s="87"/>
      <c r="BO90" s="89" t="s">
        <v>16</v>
      </c>
      <c r="BP90" s="90"/>
      <c r="BQ90" s="90"/>
      <c r="BR90" s="92"/>
      <c r="BS90" s="94">
        <f t="shared" si="4"/>
        <v>0</v>
      </c>
      <c r="BT90" s="95"/>
      <c r="BU90" s="96"/>
      <c r="BV90" s="94">
        <f t="shared" si="5"/>
        <v>0</v>
      </c>
      <c r="BW90" s="95"/>
      <c r="BX90" s="95"/>
      <c r="BY90" s="96"/>
      <c r="BZ90" s="97"/>
      <c r="CA90" s="98"/>
      <c r="CB90" s="98"/>
      <c r="CC90" s="98"/>
      <c r="CD90" s="98"/>
      <c r="CE90" s="98"/>
      <c r="CF90" s="98"/>
      <c r="CG90" s="99"/>
    </row>
    <row r="91" spans="1:85">
      <c r="A91" s="80">
        <v>17</v>
      </c>
      <c r="B91" s="81"/>
      <c r="C91" s="81"/>
      <c r="D91" s="81"/>
      <c r="E91" s="81"/>
      <c r="F91" s="82"/>
      <c r="G91" s="83" t="str">
        <f>IFERROR(INDEX([1]INPUT_DATA_Learners!T:T,MATCH(#REF!,[1]INPUT_DATA_Learners!$A:$A,0)),"")</f>
        <v/>
      </c>
      <c r="H91" s="84"/>
      <c r="I91" s="84"/>
      <c r="J91" s="85"/>
      <c r="K91" s="86" t="s">
        <v>16</v>
      </c>
      <c r="L91" s="87"/>
      <c r="M91" s="88" t="s">
        <v>16</v>
      </c>
      <c r="N91" s="88" t="s">
        <v>16</v>
      </c>
      <c r="O91" s="89" t="s">
        <v>16</v>
      </c>
      <c r="P91" s="90"/>
      <c r="Q91" s="90"/>
      <c r="R91" s="87"/>
      <c r="S91" s="89" t="s">
        <v>16</v>
      </c>
      <c r="T91" s="90"/>
      <c r="U91" s="87"/>
      <c r="V91" s="91" t="s">
        <v>16</v>
      </c>
      <c r="W91" s="86" t="s">
        <v>16</v>
      </c>
      <c r="X91" s="90"/>
      <c r="Y91" s="87"/>
      <c r="Z91" s="88" t="s">
        <v>16</v>
      </c>
      <c r="AA91" s="88" t="s">
        <v>16</v>
      </c>
      <c r="AB91" s="89" t="s">
        <v>16</v>
      </c>
      <c r="AC91" s="90"/>
      <c r="AD91" s="87"/>
      <c r="AE91" s="89" t="s">
        <v>16</v>
      </c>
      <c r="AF91" s="90"/>
      <c r="AG91" s="87"/>
      <c r="AH91" s="91" t="s">
        <v>16</v>
      </c>
      <c r="AI91" s="86" t="s">
        <v>16</v>
      </c>
      <c r="AJ91" s="90"/>
      <c r="AK91" s="87"/>
      <c r="AL91" s="89" t="s">
        <v>16</v>
      </c>
      <c r="AM91" s="87"/>
      <c r="AN91" s="89" t="s">
        <v>16</v>
      </c>
      <c r="AO91" s="87"/>
      <c r="AP91" s="89" t="s">
        <v>16</v>
      </c>
      <c r="AQ91" s="87"/>
      <c r="AR91" s="88" t="s">
        <v>16</v>
      </c>
      <c r="AS91" s="89" t="s">
        <v>16</v>
      </c>
      <c r="AT91" s="92"/>
      <c r="AU91" s="93" t="s">
        <v>16</v>
      </c>
      <c r="AV91" s="88" t="s">
        <v>16</v>
      </c>
      <c r="AW91" s="89" t="s">
        <v>16</v>
      </c>
      <c r="AX91" s="87"/>
      <c r="AY91" s="89" t="s">
        <v>16</v>
      </c>
      <c r="AZ91" s="90"/>
      <c r="BA91" s="87"/>
      <c r="BB91" s="89" t="s">
        <v>16</v>
      </c>
      <c r="BC91" s="87"/>
      <c r="BD91" s="91" t="s">
        <v>16</v>
      </c>
      <c r="BE91" s="86" t="s">
        <v>16</v>
      </c>
      <c r="BF91" s="90"/>
      <c r="BG91" s="90"/>
      <c r="BH91" s="87"/>
      <c r="BI91" s="88" t="s">
        <v>16</v>
      </c>
      <c r="BJ91" s="88" t="s">
        <v>16</v>
      </c>
      <c r="BK91" s="89" t="s">
        <v>16</v>
      </c>
      <c r="BL91" s="87"/>
      <c r="BM91" s="89" t="s">
        <v>16</v>
      </c>
      <c r="BN91" s="87"/>
      <c r="BO91" s="89" t="s">
        <v>16</v>
      </c>
      <c r="BP91" s="90"/>
      <c r="BQ91" s="90"/>
      <c r="BR91" s="92"/>
      <c r="BS91" s="94">
        <f t="shared" si="4"/>
        <v>0</v>
      </c>
      <c r="BT91" s="95"/>
      <c r="BU91" s="96"/>
      <c r="BV91" s="94">
        <f t="shared" si="5"/>
        <v>0</v>
      </c>
      <c r="BW91" s="95"/>
      <c r="BX91" s="95"/>
      <c r="BY91" s="96"/>
      <c r="BZ91" s="97"/>
      <c r="CA91" s="98"/>
      <c r="CB91" s="98"/>
      <c r="CC91" s="98"/>
      <c r="CD91" s="98"/>
      <c r="CE91" s="98"/>
      <c r="CF91" s="98"/>
      <c r="CG91" s="99"/>
    </row>
    <row r="92" spans="1:85">
      <c r="A92" s="80">
        <v>18</v>
      </c>
      <c r="B92" s="81"/>
      <c r="C92" s="81"/>
      <c r="D92" s="81"/>
      <c r="E92" s="81"/>
      <c r="F92" s="82"/>
      <c r="G92" s="83" t="str">
        <f>IFERROR(INDEX([1]INPUT_DATA_Learners!T:T,MATCH(#REF!,[1]INPUT_DATA_Learners!$A:$A,0)),"")</f>
        <v/>
      </c>
      <c r="H92" s="84"/>
      <c r="I92" s="84"/>
      <c r="J92" s="85"/>
      <c r="K92" s="86" t="s">
        <v>16</v>
      </c>
      <c r="L92" s="87"/>
      <c r="M92" s="88" t="s">
        <v>16</v>
      </c>
      <c r="N92" s="88" t="s">
        <v>16</v>
      </c>
      <c r="O92" s="89" t="s">
        <v>16</v>
      </c>
      <c r="P92" s="90"/>
      <c r="Q92" s="90"/>
      <c r="R92" s="87"/>
      <c r="S92" s="89" t="s">
        <v>16</v>
      </c>
      <c r="T92" s="90"/>
      <c r="U92" s="87"/>
      <c r="V92" s="91" t="s">
        <v>16</v>
      </c>
      <c r="W92" s="86" t="s">
        <v>16</v>
      </c>
      <c r="X92" s="90"/>
      <c r="Y92" s="87"/>
      <c r="Z92" s="88" t="s">
        <v>16</v>
      </c>
      <c r="AA92" s="88" t="s">
        <v>16</v>
      </c>
      <c r="AB92" s="89" t="s">
        <v>16</v>
      </c>
      <c r="AC92" s="90"/>
      <c r="AD92" s="87"/>
      <c r="AE92" s="89" t="s">
        <v>16</v>
      </c>
      <c r="AF92" s="90"/>
      <c r="AG92" s="87"/>
      <c r="AH92" s="91" t="s">
        <v>16</v>
      </c>
      <c r="AI92" s="86" t="s">
        <v>16</v>
      </c>
      <c r="AJ92" s="90"/>
      <c r="AK92" s="87"/>
      <c r="AL92" s="89" t="s">
        <v>16</v>
      </c>
      <c r="AM92" s="87"/>
      <c r="AN92" s="89" t="s">
        <v>16</v>
      </c>
      <c r="AO92" s="87"/>
      <c r="AP92" s="89" t="s">
        <v>16</v>
      </c>
      <c r="AQ92" s="87"/>
      <c r="AR92" s="88" t="s">
        <v>16</v>
      </c>
      <c r="AS92" s="89" t="s">
        <v>16</v>
      </c>
      <c r="AT92" s="92"/>
      <c r="AU92" s="93" t="s">
        <v>16</v>
      </c>
      <c r="AV92" s="88" t="s">
        <v>16</v>
      </c>
      <c r="AW92" s="89" t="s">
        <v>16</v>
      </c>
      <c r="AX92" s="87"/>
      <c r="AY92" s="89" t="s">
        <v>16</v>
      </c>
      <c r="AZ92" s="90"/>
      <c r="BA92" s="87"/>
      <c r="BB92" s="89" t="s">
        <v>16</v>
      </c>
      <c r="BC92" s="87"/>
      <c r="BD92" s="91" t="s">
        <v>16</v>
      </c>
      <c r="BE92" s="86" t="s">
        <v>16</v>
      </c>
      <c r="BF92" s="90"/>
      <c r="BG92" s="90"/>
      <c r="BH92" s="87"/>
      <c r="BI92" s="88" t="s">
        <v>16</v>
      </c>
      <c r="BJ92" s="88" t="s">
        <v>16</v>
      </c>
      <c r="BK92" s="89" t="s">
        <v>16</v>
      </c>
      <c r="BL92" s="87"/>
      <c r="BM92" s="89" t="s">
        <v>16</v>
      </c>
      <c r="BN92" s="87"/>
      <c r="BO92" s="89" t="s">
        <v>16</v>
      </c>
      <c r="BP92" s="90"/>
      <c r="BQ92" s="90"/>
      <c r="BR92" s="92"/>
      <c r="BS92" s="94">
        <f t="shared" si="4"/>
        <v>0</v>
      </c>
      <c r="BT92" s="95"/>
      <c r="BU92" s="96"/>
      <c r="BV92" s="94">
        <f t="shared" si="5"/>
        <v>0</v>
      </c>
      <c r="BW92" s="95"/>
      <c r="BX92" s="95"/>
      <c r="BY92" s="96"/>
      <c r="BZ92" s="97"/>
      <c r="CA92" s="98"/>
      <c r="CB92" s="98"/>
      <c r="CC92" s="98"/>
      <c r="CD92" s="98"/>
      <c r="CE92" s="98"/>
      <c r="CF92" s="98"/>
      <c r="CG92" s="99"/>
    </row>
    <row r="93" spans="1:85">
      <c r="A93" s="80">
        <v>19</v>
      </c>
      <c r="B93" s="81"/>
      <c r="C93" s="81"/>
      <c r="D93" s="81"/>
      <c r="E93" s="81"/>
      <c r="F93" s="82"/>
      <c r="G93" s="83" t="str">
        <f>IFERROR(INDEX([1]INPUT_DATA_Learners!T:T,MATCH(#REF!,[1]INPUT_DATA_Learners!$A:$A,0)),"")</f>
        <v/>
      </c>
      <c r="H93" s="84"/>
      <c r="I93" s="84"/>
      <c r="J93" s="85"/>
      <c r="K93" s="86" t="s">
        <v>16</v>
      </c>
      <c r="L93" s="87"/>
      <c r="M93" s="88" t="s">
        <v>16</v>
      </c>
      <c r="N93" s="88" t="s">
        <v>16</v>
      </c>
      <c r="O93" s="89" t="s">
        <v>16</v>
      </c>
      <c r="P93" s="90"/>
      <c r="Q93" s="90"/>
      <c r="R93" s="87"/>
      <c r="S93" s="89" t="s">
        <v>16</v>
      </c>
      <c r="T93" s="90"/>
      <c r="U93" s="87"/>
      <c r="V93" s="91" t="s">
        <v>16</v>
      </c>
      <c r="W93" s="86" t="s">
        <v>16</v>
      </c>
      <c r="X93" s="90"/>
      <c r="Y93" s="87"/>
      <c r="Z93" s="88" t="s">
        <v>16</v>
      </c>
      <c r="AA93" s="88" t="s">
        <v>16</v>
      </c>
      <c r="AB93" s="89" t="s">
        <v>16</v>
      </c>
      <c r="AC93" s="90"/>
      <c r="AD93" s="87"/>
      <c r="AE93" s="89" t="s">
        <v>16</v>
      </c>
      <c r="AF93" s="90"/>
      <c r="AG93" s="87"/>
      <c r="AH93" s="91" t="s">
        <v>16</v>
      </c>
      <c r="AI93" s="86" t="s">
        <v>16</v>
      </c>
      <c r="AJ93" s="90"/>
      <c r="AK93" s="87"/>
      <c r="AL93" s="89" t="s">
        <v>16</v>
      </c>
      <c r="AM93" s="87"/>
      <c r="AN93" s="89" t="s">
        <v>16</v>
      </c>
      <c r="AO93" s="87"/>
      <c r="AP93" s="89" t="s">
        <v>16</v>
      </c>
      <c r="AQ93" s="87"/>
      <c r="AR93" s="88" t="s">
        <v>16</v>
      </c>
      <c r="AS93" s="89" t="s">
        <v>16</v>
      </c>
      <c r="AT93" s="92"/>
      <c r="AU93" s="93" t="s">
        <v>16</v>
      </c>
      <c r="AV93" s="88" t="s">
        <v>16</v>
      </c>
      <c r="AW93" s="89" t="s">
        <v>16</v>
      </c>
      <c r="AX93" s="87"/>
      <c r="AY93" s="89" t="s">
        <v>16</v>
      </c>
      <c r="AZ93" s="90"/>
      <c r="BA93" s="87"/>
      <c r="BB93" s="89" t="s">
        <v>16</v>
      </c>
      <c r="BC93" s="87"/>
      <c r="BD93" s="91" t="s">
        <v>16</v>
      </c>
      <c r="BE93" s="86" t="s">
        <v>16</v>
      </c>
      <c r="BF93" s="90"/>
      <c r="BG93" s="90"/>
      <c r="BH93" s="87"/>
      <c r="BI93" s="88" t="s">
        <v>16</v>
      </c>
      <c r="BJ93" s="88" t="s">
        <v>16</v>
      </c>
      <c r="BK93" s="89" t="s">
        <v>16</v>
      </c>
      <c r="BL93" s="87"/>
      <c r="BM93" s="89" t="s">
        <v>16</v>
      </c>
      <c r="BN93" s="87"/>
      <c r="BO93" s="89" t="s">
        <v>16</v>
      </c>
      <c r="BP93" s="90"/>
      <c r="BQ93" s="90"/>
      <c r="BR93" s="92"/>
      <c r="BS93" s="94">
        <f>COUNTIF(K93:BO93,"X")</f>
        <v>0</v>
      </c>
      <c r="BT93" s="95"/>
      <c r="BU93" s="96"/>
      <c r="BV93" s="94">
        <f>$CA$134-BS93</f>
        <v>0</v>
      </c>
      <c r="BW93" s="95"/>
      <c r="BX93" s="95"/>
      <c r="BY93" s="96"/>
      <c r="BZ93" s="97"/>
      <c r="CA93" s="98"/>
      <c r="CB93" s="98"/>
      <c r="CC93" s="98"/>
      <c r="CD93" s="98"/>
      <c r="CE93" s="98"/>
      <c r="CF93" s="98"/>
      <c r="CG93" s="99"/>
    </row>
    <row r="94" spans="1:85">
      <c r="A94" s="80">
        <v>20</v>
      </c>
      <c r="B94" s="81"/>
      <c r="C94" s="81"/>
      <c r="D94" s="81"/>
      <c r="E94" s="81"/>
      <c r="F94" s="82"/>
      <c r="G94" s="83" t="str">
        <f>IFERROR(INDEX([1]INPUT_DATA_Learners!T:T,MATCH(#REF!,[1]INPUT_DATA_Learners!$A:$A,0)),"")</f>
        <v/>
      </c>
      <c r="H94" s="84"/>
      <c r="I94" s="84"/>
      <c r="J94" s="85"/>
      <c r="K94" s="86" t="s">
        <v>16</v>
      </c>
      <c r="L94" s="87"/>
      <c r="M94" s="88" t="s">
        <v>16</v>
      </c>
      <c r="N94" s="88" t="s">
        <v>16</v>
      </c>
      <c r="O94" s="89" t="s">
        <v>16</v>
      </c>
      <c r="P94" s="90"/>
      <c r="Q94" s="90"/>
      <c r="R94" s="87"/>
      <c r="S94" s="89" t="s">
        <v>16</v>
      </c>
      <c r="T94" s="90"/>
      <c r="U94" s="87"/>
      <c r="V94" s="91" t="s">
        <v>16</v>
      </c>
      <c r="W94" s="86" t="s">
        <v>16</v>
      </c>
      <c r="X94" s="90"/>
      <c r="Y94" s="87"/>
      <c r="Z94" s="88" t="s">
        <v>16</v>
      </c>
      <c r="AA94" s="88" t="s">
        <v>16</v>
      </c>
      <c r="AB94" s="89" t="s">
        <v>16</v>
      </c>
      <c r="AC94" s="90"/>
      <c r="AD94" s="87"/>
      <c r="AE94" s="89" t="s">
        <v>16</v>
      </c>
      <c r="AF94" s="90"/>
      <c r="AG94" s="87"/>
      <c r="AH94" s="91" t="s">
        <v>16</v>
      </c>
      <c r="AI94" s="86" t="s">
        <v>16</v>
      </c>
      <c r="AJ94" s="90"/>
      <c r="AK94" s="87"/>
      <c r="AL94" s="89" t="s">
        <v>16</v>
      </c>
      <c r="AM94" s="87"/>
      <c r="AN94" s="89" t="s">
        <v>16</v>
      </c>
      <c r="AO94" s="87"/>
      <c r="AP94" s="89" t="s">
        <v>16</v>
      </c>
      <c r="AQ94" s="87"/>
      <c r="AR94" s="88" t="s">
        <v>16</v>
      </c>
      <c r="AS94" s="89" t="s">
        <v>16</v>
      </c>
      <c r="AT94" s="92"/>
      <c r="AU94" s="93" t="s">
        <v>16</v>
      </c>
      <c r="AV94" s="88" t="s">
        <v>16</v>
      </c>
      <c r="AW94" s="89" t="s">
        <v>16</v>
      </c>
      <c r="AX94" s="87"/>
      <c r="AY94" s="89" t="s">
        <v>16</v>
      </c>
      <c r="AZ94" s="90"/>
      <c r="BA94" s="87"/>
      <c r="BB94" s="89" t="s">
        <v>16</v>
      </c>
      <c r="BC94" s="87"/>
      <c r="BD94" s="91" t="s">
        <v>16</v>
      </c>
      <c r="BE94" s="86" t="s">
        <v>16</v>
      </c>
      <c r="BF94" s="90"/>
      <c r="BG94" s="90"/>
      <c r="BH94" s="87"/>
      <c r="BI94" s="88" t="s">
        <v>16</v>
      </c>
      <c r="BJ94" s="88" t="s">
        <v>16</v>
      </c>
      <c r="BK94" s="89" t="s">
        <v>16</v>
      </c>
      <c r="BL94" s="87"/>
      <c r="BM94" s="89" t="s">
        <v>16</v>
      </c>
      <c r="BN94" s="87"/>
      <c r="BO94" s="89" t="s">
        <v>16</v>
      </c>
      <c r="BP94" s="90"/>
      <c r="BQ94" s="90"/>
      <c r="BR94" s="92"/>
      <c r="BS94" s="94">
        <f t="shared" ref="BS94:BS100" si="6">COUNTIF(K94:BO94,"X")</f>
        <v>0</v>
      </c>
      <c r="BT94" s="95"/>
      <c r="BU94" s="96"/>
      <c r="BV94" s="94">
        <f t="shared" ref="BV94:BV100" si="7">$CA$134-BS94</f>
        <v>0</v>
      </c>
      <c r="BW94" s="95"/>
      <c r="BX94" s="95"/>
      <c r="BY94" s="96"/>
      <c r="BZ94" s="97"/>
      <c r="CA94" s="98"/>
      <c r="CB94" s="98"/>
      <c r="CC94" s="98"/>
      <c r="CD94" s="98"/>
      <c r="CE94" s="98"/>
      <c r="CF94" s="98"/>
      <c r="CG94" s="99"/>
    </row>
    <row r="95" spans="1:85">
      <c r="A95" s="80">
        <v>21</v>
      </c>
      <c r="B95" s="81"/>
      <c r="C95" s="81"/>
      <c r="D95" s="81"/>
      <c r="E95" s="81"/>
      <c r="F95" s="82"/>
      <c r="G95" s="83" t="str">
        <f>IFERROR(INDEX([1]INPUT_DATA_Learners!T:T,MATCH(#REF!,[1]INPUT_DATA_Learners!$A:$A,0)),"")</f>
        <v/>
      </c>
      <c r="H95" s="84"/>
      <c r="I95" s="84"/>
      <c r="J95" s="85"/>
      <c r="K95" s="86" t="s">
        <v>16</v>
      </c>
      <c r="L95" s="87"/>
      <c r="M95" s="88" t="s">
        <v>16</v>
      </c>
      <c r="N95" s="88" t="s">
        <v>16</v>
      </c>
      <c r="O95" s="89" t="s">
        <v>16</v>
      </c>
      <c r="P95" s="90"/>
      <c r="Q95" s="90"/>
      <c r="R95" s="87"/>
      <c r="S95" s="89" t="s">
        <v>16</v>
      </c>
      <c r="T95" s="90"/>
      <c r="U95" s="87"/>
      <c r="V95" s="91" t="s">
        <v>16</v>
      </c>
      <c r="W95" s="86" t="s">
        <v>16</v>
      </c>
      <c r="X95" s="90"/>
      <c r="Y95" s="87"/>
      <c r="Z95" s="88" t="s">
        <v>16</v>
      </c>
      <c r="AA95" s="88" t="s">
        <v>16</v>
      </c>
      <c r="AB95" s="89" t="s">
        <v>16</v>
      </c>
      <c r="AC95" s="90"/>
      <c r="AD95" s="87"/>
      <c r="AE95" s="89" t="s">
        <v>16</v>
      </c>
      <c r="AF95" s="90"/>
      <c r="AG95" s="87"/>
      <c r="AH95" s="91" t="s">
        <v>16</v>
      </c>
      <c r="AI95" s="86" t="s">
        <v>16</v>
      </c>
      <c r="AJ95" s="90"/>
      <c r="AK95" s="87"/>
      <c r="AL95" s="89" t="s">
        <v>16</v>
      </c>
      <c r="AM95" s="87"/>
      <c r="AN95" s="89" t="s">
        <v>16</v>
      </c>
      <c r="AO95" s="87"/>
      <c r="AP95" s="89" t="s">
        <v>16</v>
      </c>
      <c r="AQ95" s="87"/>
      <c r="AR95" s="88" t="s">
        <v>16</v>
      </c>
      <c r="AS95" s="89" t="s">
        <v>16</v>
      </c>
      <c r="AT95" s="92"/>
      <c r="AU95" s="93" t="s">
        <v>16</v>
      </c>
      <c r="AV95" s="88" t="s">
        <v>16</v>
      </c>
      <c r="AW95" s="89" t="s">
        <v>16</v>
      </c>
      <c r="AX95" s="87"/>
      <c r="AY95" s="89" t="s">
        <v>16</v>
      </c>
      <c r="AZ95" s="90"/>
      <c r="BA95" s="87"/>
      <c r="BB95" s="89" t="s">
        <v>16</v>
      </c>
      <c r="BC95" s="87"/>
      <c r="BD95" s="91" t="s">
        <v>16</v>
      </c>
      <c r="BE95" s="86" t="s">
        <v>16</v>
      </c>
      <c r="BF95" s="90"/>
      <c r="BG95" s="90"/>
      <c r="BH95" s="87"/>
      <c r="BI95" s="88" t="s">
        <v>16</v>
      </c>
      <c r="BJ95" s="88" t="s">
        <v>16</v>
      </c>
      <c r="BK95" s="89" t="s">
        <v>16</v>
      </c>
      <c r="BL95" s="87"/>
      <c r="BM95" s="89" t="s">
        <v>16</v>
      </c>
      <c r="BN95" s="87"/>
      <c r="BO95" s="89" t="s">
        <v>16</v>
      </c>
      <c r="BP95" s="90"/>
      <c r="BQ95" s="90"/>
      <c r="BR95" s="92"/>
      <c r="BS95" s="94">
        <f t="shared" si="6"/>
        <v>0</v>
      </c>
      <c r="BT95" s="95"/>
      <c r="BU95" s="96"/>
      <c r="BV95" s="94">
        <f t="shared" si="7"/>
        <v>0</v>
      </c>
      <c r="BW95" s="95"/>
      <c r="BX95" s="95"/>
      <c r="BY95" s="96"/>
      <c r="BZ95" s="97"/>
      <c r="CA95" s="98"/>
      <c r="CB95" s="98"/>
      <c r="CC95" s="98"/>
      <c r="CD95" s="98"/>
      <c r="CE95" s="98"/>
      <c r="CF95" s="98"/>
      <c r="CG95" s="99"/>
    </row>
    <row r="96" spans="1:85">
      <c r="A96" s="80">
        <v>22</v>
      </c>
      <c r="B96" s="81"/>
      <c r="C96" s="81"/>
      <c r="D96" s="81"/>
      <c r="E96" s="81"/>
      <c r="F96" s="82"/>
      <c r="G96" s="83" t="str">
        <f>IFERROR(INDEX([1]INPUT_DATA_Learners!T:T,MATCH(#REF!,[1]INPUT_DATA_Learners!$A:$A,0)),"")</f>
        <v/>
      </c>
      <c r="H96" s="84"/>
      <c r="I96" s="84"/>
      <c r="J96" s="85"/>
      <c r="K96" s="86" t="s">
        <v>16</v>
      </c>
      <c r="L96" s="87"/>
      <c r="M96" s="88" t="s">
        <v>16</v>
      </c>
      <c r="N96" s="88" t="s">
        <v>16</v>
      </c>
      <c r="O96" s="89" t="s">
        <v>16</v>
      </c>
      <c r="P96" s="90"/>
      <c r="Q96" s="90"/>
      <c r="R96" s="87"/>
      <c r="S96" s="89" t="s">
        <v>16</v>
      </c>
      <c r="T96" s="90"/>
      <c r="U96" s="87"/>
      <c r="V96" s="91" t="s">
        <v>16</v>
      </c>
      <c r="W96" s="86" t="s">
        <v>16</v>
      </c>
      <c r="X96" s="90"/>
      <c r="Y96" s="87"/>
      <c r="Z96" s="88" t="s">
        <v>16</v>
      </c>
      <c r="AA96" s="88" t="s">
        <v>16</v>
      </c>
      <c r="AB96" s="89" t="s">
        <v>16</v>
      </c>
      <c r="AC96" s="90"/>
      <c r="AD96" s="87"/>
      <c r="AE96" s="89" t="s">
        <v>16</v>
      </c>
      <c r="AF96" s="90"/>
      <c r="AG96" s="87"/>
      <c r="AH96" s="91" t="s">
        <v>16</v>
      </c>
      <c r="AI96" s="86" t="s">
        <v>16</v>
      </c>
      <c r="AJ96" s="90"/>
      <c r="AK96" s="87"/>
      <c r="AL96" s="89" t="s">
        <v>16</v>
      </c>
      <c r="AM96" s="87"/>
      <c r="AN96" s="89" t="s">
        <v>16</v>
      </c>
      <c r="AO96" s="87"/>
      <c r="AP96" s="89" t="s">
        <v>16</v>
      </c>
      <c r="AQ96" s="87"/>
      <c r="AR96" s="88" t="s">
        <v>16</v>
      </c>
      <c r="AS96" s="89" t="s">
        <v>16</v>
      </c>
      <c r="AT96" s="92"/>
      <c r="AU96" s="93" t="s">
        <v>16</v>
      </c>
      <c r="AV96" s="88" t="s">
        <v>16</v>
      </c>
      <c r="AW96" s="89" t="s">
        <v>16</v>
      </c>
      <c r="AX96" s="87"/>
      <c r="AY96" s="89" t="s">
        <v>16</v>
      </c>
      <c r="AZ96" s="90"/>
      <c r="BA96" s="87"/>
      <c r="BB96" s="89" t="s">
        <v>16</v>
      </c>
      <c r="BC96" s="87"/>
      <c r="BD96" s="91" t="s">
        <v>16</v>
      </c>
      <c r="BE96" s="86" t="s">
        <v>16</v>
      </c>
      <c r="BF96" s="90"/>
      <c r="BG96" s="90"/>
      <c r="BH96" s="87"/>
      <c r="BI96" s="88" t="s">
        <v>16</v>
      </c>
      <c r="BJ96" s="88" t="s">
        <v>16</v>
      </c>
      <c r="BK96" s="89" t="s">
        <v>16</v>
      </c>
      <c r="BL96" s="87"/>
      <c r="BM96" s="89" t="s">
        <v>16</v>
      </c>
      <c r="BN96" s="87"/>
      <c r="BO96" s="89" t="s">
        <v>16</v>
      </c>
      <c r="BP96" s="90"/>
      <c r="BQ96" s="90"/>
      <c r="BR96" s="92"/>
      <c r="BS96" s="94">
        <f t="shared" si="6"/>
        <v>0</v>
      </c>
      <c r="BT96" s="95"/>
      <c r="BU96" s="96"/>
      <c r="BV96" s="94">
        <f t="shared" si="7"/>
        <v>0</v>
      </c>
      <c r="BW96" s="95"/>
      <c r="BX96" s="95"/>
      <c r="BY96" s="96"/>
      <c r="BZ96" s="97"/>
      <c r="CA96" s="98"/>
      <c r="CB96" s="98"/>
      <c r="CC96" s="98"/>
      <c r="CD96" s="98"/>
      <c r="CE96" s="98"/>
      <c r="CF96" s="98"/>
      <c r="CG96" s="99"/>
    </row>
    <row r="97" spans="1:85">
      <c r="A97" s="80">
        <v>23</v>
      </c>
      <c r="B97" s="81"/>
      <c r="C97" s="81"/>
      <c r="D97" s="81"/>
      <c r="E97" s="81"/>
      <c r="F97" s="82"/>
      <c r="G97" s="83" t="str">
        <f>IFERROR(INDEX([1]INPUT_DATA_Learners!T:T,MATCH(#REF!,[1]INPUT_DATA_Learners!$A:$A,0)),"")</f>
        <v/>
      </c>
      <c r="H97" s="84"/>
      <c r="I97" s="84"/>
      <c r="J97" s="85"/>
      <c r="K97" s="86" t="s">
        <v>16</v>
      </c>
      <c r="L97" s="87"/>
      <c r="M97" s="88" t="s">
        <v>16</v>
      </c>
      <c r="N97" s="88" t="s">
        <v>16</v>
      </c>
      <c r="O97" s="89" t="s">
        <v>16</v>
      </c>
      <c r="P97" s="90"/>
      <c r="Q97" s="90"/>
      <c r="R97" s="87"/>
      <c r="S97" s="89" t="s">
        <v>16</v>
      </c>
      <c r="T97" s="90"/>
      <c r="U97" s="87"/>
      <c r="V97" s="91" t="s">
        <v>16</v>
      </c>
      <c r="W97" s="86" t="s">
        <v>16</v>
      </c>
      <c r="X97" s="90"/>
      <c r="Y97" s="87"/>
      <c r="Z97" s="88" t="s">
        <v>16</v>
      </c>
      <c r="AA97" s="88" t="s">
        <v>16</v>
      </c>
      <c r="AB97" s="89" t="s">
        <v>16</v>
      </c>
      <c r="AC97" s="90"/>
      <c r="AD97" s="87"/>
      <c r="AE97" s="89" t="s">
        <v>16</v>
      </c>
      <c r="AF97" s="90"/>
      <c r="AG97" s="87"/>
      <c r="AH97" s="91" t="s">
        <v>16</v>
      </c>
      <c r="AI97" s="86" t="s">
        <v>16</v>
      </c>
      <c r="AJ97" s="90"/>
      <c r="AK97" s="87"/>
      <c r="AL97" s="89" t="s">
        <v>16</v>
      </c>
      <c r="AM97" s="87"/>
      <c r="AN97" s="89" t="s">
        <v>16</v>
      </c>
      <c r="AO97" s="87"/>
      <c r="AP97" s="89" t="s">
        <v>16</v>
      </c>
      <c r="AQ97" s="87"/>
      <c r="AR97" s="88" t="s">
        <v>16</v>
      </c>
      <c r="AS97" s="89" t="s">
        <v>16</v>
      </c>
      <c r="AT97" s="92"/>
      <c r="AU97" s="93" t="s">
        <v>16</v>
      </c>
      <c r="AV97" s="88" t="s">
        <v>16</v>
      </c>
      <c r="AW97" s="89" t="s">
        <v>16</v>
      </c>
      <c r="AX97" s="87"/>
      <c r="AY97" s="89" t="s">
        <v>16</v>
      </c>
      <c r="AZ97" s="90"/>
      <c r="BA97" s="87"/>
      <c r="BB97" s="89" t="s">
        <v>16</v>
      </c>
      <c r="BC97" s="87"/>
      <c r="BD97" s="91" t="s">
        <v>16</v>
      </c>
      <c r="BE97" s="86" t="s">
        <v>16</v>
      </c>
      <c r="BF97" s="90"/>
      <c r="BG97" s="90"/>
      <c r="BH97" s="87"/>
      <c r="BI97" s="88" t="s">
        <v>16</v>
      </c>
      <c r="BJ97" s="88" t="s">
        <v>16</v>
      </c>
      <c r="BK97" s="89" t="s">
        <v>16</v>
      </c>
      <c r="BL97" s="87"/>
      <c r="BM97" s="89" t="s">
        <v>16</v>
      </c>
      <c r="BN97" s="87"/>
      <c r="BO97" s="89" t="s">
        <v>16</v>
      </c>
      <c r="BP97" s="90"/>
      <c r="BQ97" s="90"/>
      <c r="BR97" s="92"/>
      <c r="BS97" s="94">
        <f t="shared" si="6"/>
        <v>0</v>
      </c>
      <c r="BT97" s="95"/>
      <c r="BU97" s="96"/>
      <c r="BV97" s="94">
        <f t="shared" si="7"/>
        <v>0</v>
      </c>
      <c r="BW97" s="95"/>
      <c r="BX97" s="95"/>
      <c r="BY97" s="96"/>
      <c r="BZ97" s="97"/>
      <c r="CA97" s="98"/>
      <c r="CB97" s="98"/>
      <c r="CC97" s="98"/>
      <c r="CD97" s="98"/>
      <c r="CE97" s="98"/>
      <c r="CF97" s="98"/>
      <c r="CG97" s="99"/>
    </row>
    <row r="98" spans="1:85">
      <c r="A98" s="80">
        <v>24</v>
      </c>
      <c r="B98" s="81"/>
      <c r="C98" s="81"/>
      <c r="D98" s="81"/>
      <c r="E98" s="81"/>
      <c r="F98" s="82"/>
      <c r="G98" s="83" t="str">
        <f>IFERROR(INDEX([1]INPUT_DATA_Learners!T:T,MATCH(#REF!,[1]INPUT_DATA_Learners!$A:$A,0)),"")</f>
        <v/>
      </c>
      <c r="H98" s="84"/>
      <c r="I98" s="84"/>
      <c r="J98" s="85"/>
      <c r="K98" s="86" t="s">
        <v>16</v>
      </c>
      <c r="L98" s="87"/>
      <c r="M98" s="88" t="s">
        <v>16</v>
      </c>
      <c r="N98" s="88" t="s">
        <v>16</v>
      </c>
      <c r="O98" s="89" t="s">
        <v>16</v>
      </c>
      <c r="P98" s="90"/>
      <c r="Q98" s="90"/>
      <c r="R98" s="87"/>
      <c r="S98" s="89" t="s">
        <v>16</v>
      </c>
      <c r="T98" s="90"/>
      <c r="U98" s="87"/>
      <c r="V98" s="91" t="s">
        <v>16</v>
      </c>
      <c r="W98" s="86" t="s">
        <v>16</v>
      </c>
      <c r="X98" s="90"/>
      <c r="Y98" s="87"/>
      <c r="Z98" s="88" t="s">
        <v>16</v>
      </c>
      <c r="AA98" s="88" t="s">
        <v>16</v>
      </c>
      <c r="AB98" s="89" t="s">
        <v>16</v>
      </c>
      <c r="AC98" s="90"/>
      <c r="AD98" s="87"/>
      <c r="AE98" s="89" t="s">
        <v>16</v>
      </c>
      <c r="AF98" s="90"/>
      <c r="AG98" s="87"/>
      <c r="AH98" s="91" t="s">
        <v>16</v>
      </c>
      <c r="AI98" s="86" t="s">
        <v>16</v>
      </c>
      <c r="AJ98" s="90"/>
      <c r="AK98" s="87"/>
      <c r="AL98" s="89" t="s">
        <v>16</v>
      </c>
      <c r="AM98" s="87"/>
      <c r="AN98" s="89" t="s">
        <v>16</v>
      </c>
      <c r="AO98" s="87"/>
      <c r="AP98" s="89" t="s">
        <v>16</v>
      </c>
      <c r="AQ98" s="87"/>
      <c r="AR98" s="88" t="s">
        <v>16</v>
      </c>
      <c r="AS98" s="89" t="s">
        <v>16</v>
      </c>
      <c r="AT98" s="92"/>
      <c r="AU98" s="93" t="s">
        <v>16</v>
      </c>
      <c r="AV98" s="88" t="s">
        <v>16</v>
      </c>
      <c r="AW98" s="89" t="s">
        <v>16</v>
      </c>
      <c r="AX98" s="87"/>
      <c r="AY98" s="89" t="s">
        <v>16</v>
      </c>
      <c r="AZ98" s="90"/>
      <c r="BA98" s="87"/>
      <c r="BB98" s="89" t="s">
        <v>16</v>
      </c>
      <c r="BC98" s="87"/>
      <c r="BD98" s="91" t="s">
        <v>16</v>
      </c>
      <c r="BE98" s="86" t="s">
        <v>16</v>
      </c>
      <c r="BF98" s="90"/>
      <c r="BG98" s="90"/>
      <c r="BH98" s="87"/>
      <c r="BI98" s="88" t="s">
        <v>16</v>
      </c>
      <c r="BJ98" s="88" t="s">
        <v>16</v>
      </c>
      <c r="BK98" s="89" t="s">
        <v>16</v>
      </c>
      <c r="BL98" s="87"/>
      <c r="BM98" s="89" t="s">
        <v>16</v>
      </c>
      <c r="BN98" s="87"/>
      <c r="BO98" s="89" t="s">
        <v>16</v>
      </c>
      <c r="BP98" s="90"/>
      <c r="BQ98" s="90"/>
      <c r="BR98" s="92"/>
      <c r="BS98" s="94">
        <f t="shared" si="6"/>
        <v>0</v>
      </c>
      <c r="BT98" s="95"/>
      <c r="BU98" s="96"/>
      <c r="BV98" s="94">
        <f t="shared" si="7"/>
        <v>0</v>
      </c>
      <c r="BW98" s="95"/>
      <c r="BX98" s="95"/>
      <c r="BY98" s="96"/>
      <c r="BZ98" s="97"/>
      <c r="CA98" s="98"/>
      <c r="CB98" s="98"/>
      <c r="CC98" s="98"/>
      <c r="CD98" s="98"/>
      <c r="CE98" s="98"/>
      <c r="CF98" s="98"/>
      <c r="CG98" s="99"/>
    </row>
    <row r="99" spans="1:85">
      <c r="A99" s="80">
        <v>25</v>
      </c>
      <c r="B99" s="81"/>
      <c r="C99" s="81"/>
      <c r="D99" s="81"/>
      <c r="E99" s="81"/>
      <c r="F99" s="82"/>
      <c r="G99" s="83" t="str">
        <f>IFERROR(INDEX([1]INPUT_DATA_Learners!T:T,MATCH(#REF!,[1]INPUT_DATA_Learners!$A:$A,0)),"")</f>
        <v/>
      </c>
      <c r="H99" s="84"/>
      <c r="I99" s="84"/>
      <c r="J99" s="85"/>
      <c r="K99" s="86" t="s">
        <v>16</v>
      </c>
      <c r="L99" s="87"/>
      <c r="M99" s="88" t="s">
        <v>16</v>
      </c>
      <c r="N99" s="88" t="s">
        <v>16</v>
      </c>
      <c r="O99" s="89" t="s">
        <v>16</v>
      </c>
      <c r="P99" s="90"/>
      <c r="Q99" s="90"/>
      <c r="R99" s="87"/>
      <c r="S99" s="89" t="s">
        <v>16</v>
      </c>
      <c r="T99" s="90"/>
      <c r="U99" s="87"/>
      <c r="V99" s="91" t="s">
        <v>16</v>
      </c>
      <c r="W99" s="86" t="s">
        <v>16</v>
      </c>
      <c r="X99" s="90"/>
      <c r="Y99" s="87"/>
      <c r="Z99" s="88" t="s">
        <v>16</v>
      </c>
      <c r="AA99" s="88" t="s">
        <v>16</v>
      </c>
      <c r="AB99" s="89" t="s">
        <v>16</v>
      </c>
      <c r="AC99" s="90"/>
      <c r="AD99" s="87"/>
      <c r="AE99" s="89" t="s">
        <v>16</v>
      </c>
      <c r="AF99" s="90"/>
      <c r="AG99" s="87"/>
      <c r="AH99" s="91" t="s">
        <v>16</v>
      </c>
      <c r="AI99" s="86" t="s">
        <v>16</v>
      </c>
      <c r="AJ99" s="90"/>
      <c r="AK99" s="87"/>
      <c r="AL99" s="89" t="s">
        <v>16</v>
      </c>
      <c r="AM99" s="87"/>
      <c r="AN99" s="89" t="s">
        <v>16</v>
      </c>
      <c r="AO99" s="87"/>
      <c r="AP99" s="89" t="s">
        <v>16</v>
      </c>
      <c r="AQ99" s="87"/>
      <c r="AR99" s="88" t="s">
        <v>16</v>
      </c>
      <c r="AS99" s="89" t="s">
        <v>16</v>
      </c>
      <c r="AT99" s="92"/>
      <c r="AU99" s="93" t="s">
        <v>16</v>
      </c>
      <c r="AV99" s="88" t="s">
        <v>16</v>
      </c>
      <c r="AW99" s="89" t="s">
        <v>16</v>
      </c>
      <c r="AX99" s="87"/>
      <c r="AY99" s="89" t="s">
        <v>16</v>
      </c>
      <c r="AZ99" s="90"/>
      <c r="BA99" s="87"/>
      <c r="BB99" s="89" t="s">
        <v>16</v>
      </c>
      <c r="BC99" s="87"/>
      <c r="BD99" s="91" t="s">
        <v>16</v>
      </c>
      <c r="BE99" s="86" t="s">
        <v>16</v>
      </c>
      <c r="BF99" s="90"/>
      <c r="BG99" s="90"/>
      <c r="BH99" s="87"/>
      <c r="BI99" s="88" t="s">
        <v>16</v>
      </c>
      <c r="BJ99" s="88" t="s">
        <v>16</v>
      </c>
      <c r="BK99" s="89" t="s">
        <v>16</v>
      </c>
      <c r="BL99" s="87"/>
      <c r="BM99" s="89" t="s">
        <v>16</v>
      </c>
      <c r="BN99" s="87"/>
      <c r="BO99" s="89" t="s">
        <v>16</v>
      </c>
      <c r="BP99" s="90"/>
      <c r="BQ99" s="90"/>
      <c r="BR99" s="92"/>
      <c r="BS99" s="94">
        <f t="shared" si="6"/>
        <v>0</v>
      </c>
      <c r="BT99" s="95"/>
      <c r="BU99" s="96"/>
      <c r="BV99" s="94">
        <f t="shared" si="7"/>
        <v>0</v>
      </c>
      <c r="BW99" s="95"/>
      <c r="BX99" s="95"/>
      <c r="BY99" s="96"/>
      <c r="BZ99" s="97"/>
      <c r="CA99" s="98"/>
      <c r="CB99" s="98"/>
      <c r="CC99" s="98"/>
      <c r="CD99" s="98"/>
      <c r="CE99" s="98"/>
      <c r="CF99" s="98"/>
      <c r="CG99" s="99"/>
    </row>
    <row r="100" spans="1:85">
      <c r="A100" s="80">
        <v>26</v>
      </c>
      <c r="B100" s="81"/>
      <c r="C100" s="81"/>
      <c r="D100" s="81"/>
      <c r="E100" s="81"/>
      <c r="F100" s="82"/>
      <c r="G100" s="83" t="str">
        <f>IFERROR(INDEX([1]INPUT_DATA_Learners!T:T,MATCH(#REF!,[1]INPUT_DATA_Learners!$A:$A,0)),"")</f>
        <v/>
      </c>
      <c r="H100" s="84"/>
      <c r="I100" s="84"/>
      <c r="J100" s="85"/>
      <c r="K100" s="86" t="s">
        <v>16</v>
      </c>
      <c r="L100" s="87"/>
      <c r="M100" s="88" t="s">
        <v>16</v>
      </c>
      <c r="N100" s="88" t="s">
        <v>16</v>
      </c>
      <c r="O100" s="89" t="s">
        <v>16</v>
      </c>
      <c r="P100" s="90"/>
      <c r="Q100" s="90"/>
      <c r="R100" s="87"/>
      <c r="S100" s="89" t="s">
        <v>16</v>
      </c>
      <c r="T100" s="90"/>
      <c r="U100" s="87"/>
      <c r="V100" s="91" t="s">
        <v>16</v>
      </c>
      <c r="W100" s="86" t="s">
        <v>16</v>
      </c>
      <c r="X100" s="90"/>
      <c r="Y100" s="87"/>
      <c r="Z100" s="88" t="s">
        <v>16</v>
      </c>
      <c r="AA100" s="88" t="s">
        <v>16</v>
      </c>
      <c r="AB100" s="89" t="s">
        <v>16</v>
      </c>
      <c r="AC100" s="90"/>
      <c r="AD100" s="87"/>
      <c r="AE100" s="89" t="s">
        <v>16</v>
      </c>
      <c r="AF100" s="90"/>
      <c r="AG100" s="87"/>
      <c r="AH100" s="91" t="s">
        <v>16</v>
      </c>
      <c r="AI100" s="86" t="s">
        <v>16</v>
      </c>
      <c r="AJ100" s="90"/>
      <c r="AK100" s="87"/>
      <c r="AL100" s="89" t="s">
        <v>16</v>
      </c>
      <c r="AM100" s="87"/>
      <c r="AN100" s="89" t="s">
        <v>16</v>
      </c>
      <c r="AO100" s="87"/>
      <c r="AP100" s="89" t="s">
        <v>16</v>
      </c>
      <c r="AQ100" s="87"/>
      <c r="AR100" s="88" t="s">
        <v>16</v>
      </c>
      <c r="AS100" s="89" t="s">
        <v>16</v>
      </c>
      <c r="AT100" s="92"/>
      <c r="AU100" s="93" t="s">
        <v>16</v>
      </c>
      <c r="AV100" s="88" t="s">
        <v>16</v>
      </c>
      <c r="AW100" s="89" t="s">
        <v>16</v>
      </c>
      <c r="AX100" s="87"/>
      <c r="AY100" s="89" t="s">
        <v>16</v>
      </c>
      <c r="AZ100" s="90"/>
      <c r="BA100" s="87"/>
      <c r="BB100" s="89" t="s">
        <v>16</v>
      </c>
      <c r="BC100" s="87"/>
      <c r="BD100" s="91" t="s">
        <v>16</v>
      </c>
      <c r="BE100" s="86" t="s">
        <v>16</v>
      </c>
      <c r="BF100" s="90"/>
      <c r="BG100" s="90"/>
      <c r="BH100" s="87"/>
      <c r="BI100" s="88" t="s">
        <v>16</v>
      </c>
      <c r="BJ100" s="88" t="s">
        <v>16</v>
      </c>
      <c r="BK100" s="89" t="s">
        <v>16</v>
      </c>
      <c r="BL100" s="87"/>
      <c r="BM100" s="89" t="s">
        <v>16</v>
      </c>
      <c r="BN100" s="87"/>
      <c r="BO100" s="89" t="s">
        <v>16</v>
      </c>
      <c r="BP100" s="90"/>
      <c r="BQ100" s="90"/>
      <c r="BR100" s="92"/>
      <c r="BS100" s="94">
        <f t="shared" si="6"/>
        <v>0</v>
      </c>
      <c r="BT100" s="95"/>
      <c r="BU100" s="96"/>
      <c r="BV100" s="94">
        <f t="shared" si="7"/>
        <v>0</v>
      </c>
      <c r="BW100" s="95"/>
      <c r="BX100" s="95"/>
      <c r="BY100" s="96"/>
      <c r="BZ100" s="97"/>
      <c r="CA100" s="98"/>
      <c r="CB100" s="98"/>
      <c r="CC100" s="98"/>
      <c r="CD100" s="98"/>
      <c r="CE100" s="98"/>
      <c r="CF100" s="98"/>
      <c r="CG100" s="99"/>
    </row>
    <row r="101" spans="1:85">
      <c r="A101" s="80">
        <v>27</v>
      </c>
      <c r="B101" s="81"/>
      <c r="C101" s="81"/>
      <c r="D101" s="81"/>
      <c r="E101" s="81"/>
      <c r="F101" s="82"/>
      <c r="G101" s="83" t="str">
        <f>IFERROR(INDEX([1]INPUT_DATA_Learners!T:T,MATCH(#REF!,[1]INPUT_DATA_Learners!$A:$A,0)),"")</f>
        <v/>
      </c>
      <c r="H101" s="84"/>
      <c r="I101" s="84"/>
      <c r="J101" s="85"/>
      <c r="K101" s="86" t="s">
        <v>16</v>
      </c>
      <c r="L101" s="87"/>
      <c r="M101" s="88" t="s">
        <v>16</v>
      </c>
      <c r="N101" s="88" t="s">
        <v>16</v>
      </c>
      <c r="O101" s="89" t="s">
        <v>16</v>
      </c>
      <c r="P101" s="90"/>
      <c r="Q101" s="90"/>
      <c r="R101" s="87"/>
      <c r="S101" s="89" t="s">
        <v>16</v>
      </c>
      <c r="T101" s="90"/>
      <c r="U101" s="87"/>
      <c r="V101" s="91" t="s">
        <v>16</v>
      </c>
      <c r="W101" s="86" t="s">
        <v>16</v>
      </c>
      <c r="X101" s="90"/>
      <c r="Y101" s="87"/>
      <c r="Z101" s="88" t="s">
        <v>16</v>
      </c>
      <c r="AA101" s="88" t="s">
        <v>16</v>
      </c>
      <c r="AB101" s="89" t="s">
        <v>16</v>
      </c>
      <c r="AC101" s="90"/>
      <c r="AD101" s="87"/>
      <c r="AE101" s="89" t="s">
        <v>16</v>
      </c>
      <c r="AF101" s="90"/>
      <c r="AG101" s="87"/>
      <c r="AH101" s="91" t="s">
        <v>16</v>
      </c>
      <c r="AI101" s="86" t="s">
        <v>16</v>
      </c>
      <c r="AJ101" s="90"/>
      <c r="AK101" s="87"/>
      <c r="AL101" s="89" t="s">
        <v>16</v>
      </c>
      <c r="AM101" s="87"/>
      <c r="AN101" s="89" t="s">
        <v>16</v>
      </c>
      <c r="AO101" s="87"/>
      <c r="AP101" s="89" t="s">
        <v>16</v>
      </c>
      <c r="AQ101" s="87"/>
      <c r="AR101" s="88" t="s">
        <v>16</v>
      </c>
      <c r="AS101" s="89" t="s">
        <v>16</v>
      </c>
      <c r="AT101" s="92"/>
      <c r="AU101" s="93" t="s">
        <v>16</v>
      </c>
      <c r="AV101" s="88" t="s">
        <v>16</v>
      </c>
      <c r="AW101" s="89" t="s">
        <v>16</v>
      </c>
      <c r="AX101" s="87"/>
      <c r="AY101" s="89" t="s">
        <v>16</v>
      </c>
      <c r="AZ101" s="90"/>
      <c r="BA101" s="87"/>
      <c r="BB101" s="89" t="s">
        <v>16</v>
      </c>
      <c r="BC101" s="87"/>
      <c r="BD101" s="91" t="s">
        <v>16</v>
      </c>
      <c r="BE101" s="86" t="s">
        <v>16</v>
      </c>
      <c r="BF101" s="90"/>
      <c r="BG101" s="90"/>
      <c r="BH101" s="87"/>
      <c r="BI101" s="88" t="s">
        <v>16</v>
      </c>
      <c r="BJ101" s="88" t="s">
        <v>16</v>
      </c>
      <c r="BK101" s="89" t="s">
        <v>16</v>
      </c>
      <c r="BL101" s="87"/>
      <c r="BM101" s="89" t="s">
        <v>16</v>
      </c>
      <c r="BN101" s="87"/>
      <c r="BO101" s="89" t="s">
        <v>16</v>
      </c>
      <c r="BP101" s="90"/>
      <c r="BQ101" s="90"/>
      <c r="BR101" s="92"/>
      <c r="BS101" s="94">
        <f>COUNTIF(K101:BO101,"X")</f>
        <v>0</v>
      </c>
      <c r="BT101" s="95"/>
      <c r="BU101" s="96"/>
      <c r="BV101" s="94">
        <f>$CA$134-BS101</f>
        <v>0</v>
      </c>
      <c r="BW101" s="95"/>
      <c r="BX101" s="95"/>
      <c r="BY101" s="96"/>
      <c r="BZ101" s="97"/>
      <c r="CA101" s="98"/>
      <c r="CB101" s="98"/>
      <c r="CC101" s="98"/>
      <c r="CD101" s="98"/>
      <c r="CE101" s="98"/>
      <c r="CF101" s="98"/>
      <c r="CG101" s="99"/>
    </row>
    <row r="102" spans="1:85">
      <c r="A102" s="80">
        <v>28</v>
      </c>
      <c r="B102" s="81"/>
      <c r="C102" s="81"/>
      <c r="D102" s="81"/>
      <c r="E102" s="81"/>
      <c r="F102" s="82"/>
      <c r="G102" s="83" t="str">
        <f>IFERROR(INDEX([1]INPUT_DATA_Learners!T:T,MATCH(#REF!,[1]INPUT_DATA_Learners!$A:$A,0)),"")</f>
        <v/>
      </c>
      <c r="H102" s="84"/>
      <c r="I102" s="84"/>
      <c r="J102" s="85"/>
      <c r="K102" s="86" t="s">
        <v>16</v>
      </c>
      <c r="L102" s="87"/>
      <c r="M102" s="88" t="s">
        <v>16</v>
      </c>
      <c r="N102" s="88" t="s">
        <v>16</v>
      </c>
      <c r="O102" s="89" t="s">
        <v>16</v>
      </c>
      <c r="P102" s="90"/>
      <c r="Q102" s="90"/>
      <c r="R102" s="87"/>
      <c r="S102" s="89" t="s">
        <v>16</v>
      </c>
      <c r="T102" s="90"/>
      <c r="U102" s="87"/>
      <c r="V102" s="91" t="s">
        <v>16</v>
      </c>
      <c r="W102" s="86" t="s">
        <v>16</v>
      </c>
      <c r="X102" s="90"/>
      <c r="Y102" s="87"/>
      <c r="Z102" s="88" t="s">
        <v>16</v>
      </c>
      <c r="AA102" s="88" t="s">
        <v>16</v>
      </c>
      <c r="AB102" s="89" t="s">
        <v>16</v>
      </c>
      <c r="AC102" s="90"/>
      <c r="AD102" s="87"/>
      <c r="AE102" s="89" t="s">
        <v>16</v>
      </c>
      <c r="AF102" s="90"/>
      <c r="AG102" s="87"/>
      <c r="AH102" s="91" t="s">
        <v>16</v>
      </c>
      <c r="AI102" s="86" t="s">
        <v>16</v>
      </c>
      <c r="AJ102" s="90"/>
      <c r="AK102" s="87"/>
      <c r="AL102" s="89" t="s">
        <v>16</v>
      </c>
      <c r="AM102" s="87"/>
      <c r="AN102" s="89" t="s">
        <v>16</v>
      </c>
      <c r="AO102" s="87"/>
      <c r="AP102" s="89" t="s">
        <v>16</v>
      </c>
      <c r="AQ102" s="87"/>
      <c r="AR102" s="88" t="s">
        <v>16</v>
      </c>
      <c r="AS102" s="89" t="s">
        <v>16</v>
      </c>
      <c r="AT102" s="92"/>
      <c r="AU102" s="93" t="s">
        <v>16</v>
      </c>
      <c r="AV102" s="88" t="s">
        <v>16</v>
      </c>
      <c r="AW102" s="89" t="s">
        <v>16</v>
      </c>
      <c r="AX102" s="87"/>
      <c r="AY102" s="89" t="s">
        <v>16</v>
      </c>
      <c r="AZ102" s="90"/>
      <c r="BA102" s="87"/>
      <c r="BB102" s="89" t="s">
        <v>16</v>
      </c>
      <c r="BC102" s="87"/>
      <c r="BD102" s="91" t="s">
        <v>16</v>
      </c>
      <c r="BE102" s="86" t="s">
        <v>16</v>
      </c>
      <c r="BF102" s="90"/>
      <c r="BG102" s="90"/>
      <c r="BH102" s="87"/>
      <c r="BI102" s="88" t="s">
        <v>16</v>
      </c>
      <c r="BJ102" s="88" t="s">
        <v>16</v>
      </c>
      <c r="BK102" s="89" t="s">
        <v>16</v>
      </c>
      <c r="BL102" s="87"/>
      <c r="BM102" s="89" t="s">
        <v>16</v>
      </c>
      <c r="BN102" s="87"/>
      <c r="BO102" s="89" t="s">
        <v>16</v>
      </c>
      <c r="BP102" s="90"/>
      <c r="BQ102" s="90"/>
      <c r="BR102" s="92"/>
      <c r="BS102" s="94">
        <f t="shared" ref="BS102:BS129" si="8">COUNTIF(K102:BO102,"X")</f>
        <v>0</v>
      </c>
      <c r="BT102" s="95"/>
      <c r="BU102" s="96"/>
      <c r="BV102" s="94">
        <f t="shared" ref="BV102:BV129" si="9">$CA$134-BS102</f>
        <v>0</v>
      </c>
      <c r="BW102" s="95"/>
      <c r="BX102" s="95"/>
      <c r="BY102" s="96"/>
      <c r="BZ102" s="97"/>
      <c r="CA102" s="98"/>
      <c r="CB102" s="98"/>
      <c r="CC102" s="98"/>
      <c r="CD102" s="98"/>
      <c r="CE102" s="98"/>
      <c r="CF102" s="98"/>
      <c r="CG102" s="99"/>
    </row>
    <row r="103" spans="1:85">
      <c r="A103" s="80">
        <v>29</v>
      </c>
      <c r="B103" s="81"/>
      <c r="C103" s="81"/>
      <c r="D103" s="81"/>
      <c r="E103" s="81"/>
      <c r="F103" s="82"/>
      <c r="G103" s="83" t="str">
        <f>IFERROR(INDEX([1]INPUT_DATA_Learners!T:T,MATCH(#REF!,[1]INPUT_DATA_Learners!$A:$A,0)),"")</f>
        <v/>
      </c>
      <c r="H103" s="84"/>
      <c r="I103" s="84"/>
      <c r="J103" s="85"/>
      <c r="K103" s="86" t="s">
        <v>16</v>
      </c>
      <c r="L103" s="87"/>
      <c r="M103" s="88" t="s">
        <v>16</v>
      </c>
      <c r="N103" s="88" t="s">
        <v>16</v>
      </c>
      <c r="O103" s="89" t="s">
        <v>16</v>
      </c>
      <c r="P103" s="90"/>
      <c r="Q103" s="90"/>
      <c r="R103" s="87"/>
      <c r="S103" s="89" t="s">
        <v>16</v>
      </c>
      <c r="T103" s="90"/>
      <c r="U103" s="87"/>
      <c r="V103" s="91" t="s">
        <v>16</v>
      </c>
      <c r="W103" s="86" t="s">
        <v>16</v>
      </c>
      <c r="X103" s="90"/>
      <c r="Y103" s="87"/>
      <c r="Z103" s="88" t="s">
        <v>16</v>
      </c>
      <c r="AA103" s="88" t="s">
        <v>16</v>
      </c>
      <c r="AB103" s="89" t="s">
        <v>16</v>
      </c>
      <c r="AC103" s="90"/>
      <c r="AD103" s="87"/>
      <c r="AE103" s="89" t="s">
        <v>16</v>
      </c>
      <c r="AF103" s="90"/>
      <c r="AG103" s="87"/>
      <c r="AH103" s="91" t="s">
        <v>16</v>
      </c>
      <c r="AI103" s="86" t="s">
        <v>16</v>
      </c>
      <c r="AJ103" s="90"/>
      <c r="AK103" s="87"/>
      <c r="AL103" s="89" t="s">
        <v>16</v>
      </c>
      <c r="AM103" s="87"/>
      <c r="AN103" s="89" t="s">
        <v>16</v>
      </c>
      <c r="AO103" s="87"/>
      <c r="AP103" s="89" t="s">
        <v>16</v>
      </c>
      <c r="AQ103" s="87"/>
      <c r="AR103" s="88" t="s">
        <v>16</v>
      </c>
      <c r="AS103" s="89" t="s">
        <v>16</v>
      </c>
      <c r="AT103" s="92"/>
      <c r="AU103" s="93" t="s">
        <v>16</v>
      </c>
      <c r="AV103" s="88" t="s">
        <v>16</v>
      </c>
      <c r="AW103" s="89" t="s">
        <v>16</v>
      </c>
      <c r="AX103" s="87"/>
      <c r="AY103" s="89" t="s">
        <v>16</v>
      </c>
      <c r="AZ103" s="90"/>
      <c r="BA103" s="87"/>
      <c r="BB103" s="89" t="s">
        <v>16</v>
      </c>
      <c r="BC103" s="87"/>
      <c r="BD103" s="91" t="s">
        <v>16</v>
      </c>
      <c r="BE103" s="86" t="s">
        <v>16</v>
      </c>
      <c r="BF103" s="90"/>
      <c r="BG103" s="90"/>
      <c r="BH103" s="87"/>
      <c r="BI103" s="88" t="s">
        <v>16</v>
      </c>
      <c r="BJ103" s="88" t="s">
        <v>16</v>
      </c>
      <c r="BK103" s="89" t="s">
        <v>16</v>
      </c>
      <c r="BL103" s="87"/>
      <c r="BM103" s="89" t="s">
        <v>16</v>
      </c>
      <c r="BN103" s="87"/>
      <c r="BO103" s="89" t="s">
        <v>16</v>
      </c>
      <c r="BP103" s="90"/>
      <c r="BQ103" s="90"/>
      <c r="BR103" s="92"/>
      <c r="BS103" s="94">
        <f t="shared" si="8"/>
        <v>0</v>
      </c>
      <c r="BT103" s="95"/>
      <c r="BU103" s="96"/>
      <c r="BV103" s="94">
        <f t="shared" si="9"/>
        <v>0</v>
      </c>
      <c r="BW103" s="95"/>
      <c r="BX103" s="95"/>
      <c r="BY103" s="96"/>
      <c r="BZ103" s="97"/>
      <c r="CA103" s="98"/>
      <c r="CB103" s="98"/>
      <c r="CC103" s="98"/>
      <c r="CD103" s="98"/>
      <c r="CE103" s="98"/>
      <c r="CF103" s="98"/>
      <c r="CG103" s="99"/>
    </row>
    <row r="104" spans="1:85">
      <c r="A104" s="80">
        <v>30</v>
      </c>
      <c r="B104" s="81"/>
      <c r="C104" s="81"/>
      <c r="D104" s="81"/>
      <c r="E104" s="81"/>
      <c r="F104" s="82"/>
      <c r="G104" s="83" t="str">
        <f>IFERROR(INDEX([1]INPUT_DATA_Learners!T:T,MATCH(#REF!,[1]INPUT_DATA_Learners!$A:$A,0)),"")</f>
        <v/>
      </c>
      <c r="H104" s="84"/>
      <c r="I104" s="84"/>
      <c r="J104" s="85"/>
      <c r="K104" s="86" t="s">
        <v>16</v>
      </c>
      <c r="L104" s="87"/>
      <c r="M104" s="88" t="s">
        <v>16</v>
      </c>
      <c r="N104" s="88" t="s">
        <v>16</v>
      </c>
      <c r="O104" s="89" t="s">
        <v>16</v>
      </c>
      <c r="P104" s="90"/>
      <c r="Q104" s="90"/>
      <c r="R104" s="87"/>
      <c r="S104" s="89" t="s">
        <v>16</v>
      </c>
      <c r="T104" s="90"/>
      <c r="U104" s="87"/>
      <c r="V104" s="91" t="s">
        <v>16</v>
      </c>
      <c r="W104" s="86" t="s">
        <v>16</v>
      </c>
      <c r="X104" s="90"/>
      <c r="Y104" s="87"/>
      <c r="Z104" s="88" t="s">
        <v>16</v>
      </c>
      <c r="AA104" s="88" t="s">
        <v>16</v>
      </c>
      <c r="AB104" s="89" t="s">
        <v>16</v>
      </c>
      <c r="AC104" s="90"/>
      <c r="AD104" s="87"/>
      <c r="AE104" s="89" t="s">
        <v>16</v>
      </c>
      <c r="AF104" s="90"/>
      <c r="AG104" s="87"/>
      <c r="AH104" s="91" t="s">
        <v>16</v>
      </c>
      <c r="AI104" s="86" t="s">
        <v>16</v>
      </c>
      <c r="AJ104" s="90"/>
      <c r="AK104" s="87"/>
      <c r="AL104" s="89" t="s">
        <v>16</v>
      </c>
      <c r="AM104" s="87"/>
      <c r="AN104" s="89" t="s">
        <v>16</v>
      </c>
      <c r="AO104" s="87"/>
      <c r="AP104" s="89" t="s">
        <v>16</v>
      </c>
      <c r="AQ104" s="87"/>
      <c r="AR104" s="88" t="s">
        <v>16</v>
      </c>
      <c r="AS104" s="89" t="s">
        <v>16</v>
      </c>
      <c r="AT104" s="92"/>
      <c r="AU104" s="93" t="s">
        <v>16</v>
      </c>
      <c r="AV104" s="88" t="s">
        <v>16</v>
      </c>
      <c r="AW104" s="89" t="s">
        <v>16</v>
      </c>
      <c r="AX104" s="87"/>
      <c r="AY104" s="89" t="s">
        <v>16</v>
      </c>
      <c r="AZ104" s="90"/>
      <c r="BA104" s="87"/>
      <c r="BB104" s="89" t="s">
        <v>16</v>
      </c>
      <c r="BC104" s="87"/>
      <c r="BD104" s="91" t="s">
        <v>16</v>
      </c>
      <c r="BE104" s="86" t="s">
        <v>16</v>
      </c>
      <c r="BF104" s="90"/>
      <c r="BG104" s="90"/>
      <c r="BH104" s="87"/>
      <c r="BI104" s="88" t="s">
        <v>16</v>
      </c>
      <c r="BJ104" s="88" t="s">
        <v>16</v>
      </c>
      <c r="BK104" s="89" t="s">
        <v>16</v>
      </c>
      <c r="BL104" s="87"/>
      <c r="BM104" s="89" t="s">
        <v>16</v>
      </c>
      <c r="BN104" s="87"/>
      <c r="BO104" s="89" t="s">
        <v>16</v>
      </c>
      <c r="BP104" s="90"/>
      <c r="BQ104" s="90"/>
      <c r="BR104" s="92"/>
      <c r="BS104" s="94">
        <f t="shared" si="8"/>
        <v>0</v>
      </c>
      <c r="BT104" s="95"/>
      <c r="BU104" s="96"/>
      <c r="BV104" s="94">
        <f t="shared" si="9"/>
        <v>0</v>
      </c>
      <c r="BW104" s="95"/>
      <c r="BX104" s="95"/>
      <c r="BY104" s="96"/>
      <c r="BZ104" s="97"/>
      <c r="CA104" s="98"/>
      <c r="CB104" s="98"/>
      <c r="CC104" s="98"/>
      <c r="CD104" s="98"/>
      <c r="CE104" s="98"/>
      <c r="CF104" s="98"/>
      <c r="CG104" s="99"/>
    </row>
    <row r="105" spans="1:85">
      <c r="A105" s="80">
        <v>31</v>
      </c>
      <c r="B105" s="81"/>
      <c r="C105" s="81"/>
      <c r="D105" s="81"/>
      <c r="E105" s="81"/>
      <c r="F105" s="82"/>
      <c r="G105" s="83" t="str">
        <f>IFERROR(INDEX([1]INPUT_DATA_Learners!T:T,MATCH(#REF!,[1]INPUT_DATA_Learners!$A:$A,0)),"")</f>
        <v/>
      </c>
      <c r="H105" s="84"/>
      <c r="I105" s="84"/>
      <c r="J105" s="85"/>
      <c r="K105" s="86" t="s">
        <v>16</v>
      </c>
      <c r="L105" s="87"/>
      <c r="M105" s="88" t="s">
        <v>16</v>
      </c>
      <c r="N105" s="88" t="s">
        <v>16</v>
      </c>
      <c r="O105" s="89" t="s">
        <v>16</v>
      </c>
      <c r="P105" s="90"/>
      <c r="Q105" s="90"/>
      <c r="R105" s="87"/>
      <c r="S105" s="89" t="s">
        <v>16</v>
      </c>
      <c r="T105" s="90"/>
      <c r="U105" s="87"/>
      <c r="V105" s="91" t="s">
        <v>16</v>
      </c>
      <c r="W105" s="86" t="s">
        <v>16</v>
      </c>
      <c r="X105" s="90"/>
      <c r="Y105" s="87"/>
      <c r="Z105" s="88" t="s">
        <v>16</v>
      </c>
      <c r="AA105" s="88" t="s">
        <v>16</v>
      </c>
      <c r="AB105" s="89" t="s">
        <v>16</v>
      </c>
      <c r="AC105" s="90"/>
      <c r="AD105" s="87"/>
      <c r="AE105" s="89" t="s">
        <v>16</v>
      </c>
      <c r="AF105" s="90"/>
      <c r="AG105" s="87"/>
      <c r="AH105" s="91" t="s">
        <v>16</v>
      </c>
      <c r="AI105" s="86" t="s">
        <v>16</v>
      </c>
      <c r="AJ105" s="90"/>
      <c r="AK105" s="87"/>
      <c r="AL105" s="89" t="s">
        <v>16</v>
      </c>
      <c r="AM105" s="87"/>
      <c r="AN105" s="89" t="s">
        <v>16</v>
      </c>
      <c r="AO105" s="87"/>
      <c r="AP105" s="89" t="s">
        <v>16</v>
      </c>
      <c r="AQ105" s="87"/>
      <c r="AR105" s="88" t="s">
        <v>16</v>
      </c>
      <c r="AS105" s="89" t="s">
        <v>16</v>
      </c>
      <c r="AT105" s="92"/>
      <c r="AU105" s="93" t="s">
        <v>16</v>
      </c>
      <c r="AV105" s="88" t="s">
        <v>16</v>
      </c>
      <c r="AW105" s="89" t="s">
        <v>16</v>
      </c>
      <c r="AX105" s="87"/>
      <c r="AY105" s="89" t="s">
        <v>16</v>
      </c>
      <c r="AZ105" s="90"/>
      <c r="BA105" s="87"/>
      <c r="BB105" s="89" t="s">
        <v>16</v>
      </c>
      <c r="BC105" s="87"/>
      <c r="BD105" s="91" t="s">
        <v>16</v>
      </c>
      <c r="BE105" s="86" t="s">
        <v>16</v>
      </c>
      <c r="BF105" s="90"/>
      <c r="BG105" s="90"/>
      <c r="BH105" s="87"/>
      <c r="BI105" s="88" t="s">
        <v>16</v>
      </c>
      <c r="BJ105" s="88" t="s">
        <v>16</v>
      </c>
      <c r="BK105" s="89" t="s">
        <v>16</v>
      </c>
      <c r="BL105" s="87"/>
      <c r="BM105" s="89" t="s">
        <v>16</v>
      </c>
      <c r="BN105" s="87"/>
      <c r="BO105" s="89" t="s">
        <v>16</v>
      </c>
      <c r="BP105" s="90"/>
      <c r="BQ105" s="90"/>
      <c r="BR105" s="92"/>
      <c r="BS105" s="94">
        <f t="shared" si="8"/>
        <v>0</v>
      </c>
      <c r="BT105" s="95"/>
      <c r="BU105" s="96"/>
      <c r="BV105" s="94">
        <f t="shared" si="9"/>
        <v>0</v>
      </c>
      <c r="BW105" s="95"/>
      <c r="BX105" s="95"/>
      <c r="BY105" s="96"/>
      <c r="BZ105" s="97"/>
      <c r="CA105" s="98"/>
      <c r="CB105" s="98"/>
      <c r="CC105" s="98"/>
      <c r="CD105" s="98"/>
      <c r="CE105" s="98"/>
      <c r="CF105" s="98"/>
      <c r="CG105" s="99"/>
    </row>
    <row r="106" spans="1:85">
      <c r="A106" s="80">
        <v>32</v>
      </c>
      <c r="B106" s="81"/>
      <c r="C106" s="81"/>
      <c r="D106" s="81"/>
      <c r="E106" s="81"/>
      <c r="F106" s="82"/>
      <c r="G106" s="83" t="str">
        <f>IFERROR(INDEX([1]INPUT_DATA_Learners!T:T,MATCH(#REF!,[1]INPUT_DATA_Learners!$A:$A,0)),"")</f>
        <v/>
      </c>
      <c r="H106" s="84"/>
      <c r="I106" s="84"/>
      <c r="J106" s="85"/>
      <c r="K106" s="86" t="s">
        <v>16</v>
      </c>
      <c r="L106" s="87"/>
      <c r="M106" s="88" t="s">
        <v>16</v>
      </c>
      <c r="N106" s="88" t="s">
        <v>16</v>
      </c>
      <c r="O106" s="89" t="s">
        <v>16</v>
      </c>
      <c r="P106" s="90"/>
      <c r="Q106" s="90"/>
      <c r="R106" s="87"/>
      <c r="S106" s="89" t="s">
        <v>16</v>
      </c>
      <c r="T106" s="90"/>
      <c r="U106" s="87"/>
      <c r="V106" s="91" t="s">
        <v>16</v>
      </c>
      <c r="W106" s="86" t="s">
        <v>16</v>
      </c>
      <c r="X106" s="90"/>
      <c r="Y106" s="87"/>
      <c r="Z106" s="88" t="s">
        <v>16</v>
      </c>
      <c r="AA106" s="88" t="s">
        <v>16</v>
      </c>
      <c r="AB106" s="89" t="s">
        <v>16</v>
      </c>
      <c r="AC106" s="90"/>
      <c r="AD106" s="87"/>
      <c r="AE106" s="89" t="s">
        <v>16</v>
      </c>
      <c r="AF106" s="90"/>
      <c r="AG106" s="87"/>
      <c r="AH106" s="91" t="s">
        <v>16</v>
      </c>
      <c r="AI106" s="86" t="s">
        <v>16</v>
      </c>
      <c r="AJ106" s="90"/>
      <c r="AK106" s="87"/>
      <c r="AL106" s="89" t="s">
        <v>16</v>
      </c>
      <c r="AM106" s="87"/>
      <c r="AN106" s="89" t="s">
        <v>16</v>
      </c>
      <c r="AO106" s="87"/>
      <c r="AP106" s="89" t="s">
        <v>16</v>
      </c>
      <c r="AQ106" s="87"/>
      <c r="AR106" s="88" t="s">
        <v>16</v>
      </c>
      <c r="AS106" s="89" t="s">
        <v>16</v>
      </c>
      <c r="AT106" s="92"/>
      <c r="AU106" s="93" t="s">
        <v>16</v>
      </c>
      <c r="AV106" s="88" t="s">
        <v>16</v>
      </c>
      <c r="AW106" s="89" t="s">
        <v>16</v>
      </c>
      <c r="AX106" s="87"/>
      <c r="AY106" s="89" t="s">
        <v>16</v>
      </c>
      <c r="AZ106" s="90"/>
      <c r="BA106" s="87"/>
      <c r="BB106" s="89" t="s">
        <v>16</v>
      </c>
      <c r="BC106" s="87"/>
      <c r="BD106" s="91" t="s">
        <v>16</v>
      </c>
      <c r="BE106" s="86" t="s">
        <v>16</v>
      </c>
      <c r="BF106" s="90"/>
      <c r="BG106" s="90"/>
      <c r="BH106" s="87"/>
      <c r="BI106" s="88" t="s">
        <v>16</v>
      </c>
      <c r="BJ106" s="88" t="s">
        <v>16</v>
      </c>
      <c r="BK106" s="89" t="s">
        <v>16</v>
      </c>
      <c r="BL106" s="87"/>
      <c r="BM106" s="89" t="s">
        <v>16</v>
      </c>
      <c r="BN106" s="87"/>
      <c r="BO106" s="89" t="s">
        <v>16</v>
      </c>
      <c r="BP106" s="90"/>
      <c r="BQ106" s="90"/>
      <c r="BR106" s="92"/>
      <c r="BS106" s="94">
        <f t="shared" si="8"/>
        <v>0</v>
      </c>
      <c r="BT106" s="95"/>
      <c r="BU106" s="96"/>
      <c r="BV106" s="94">
        <f t="shared" si="9"/>
        <v>0</v>
      </c>
      <c r="BW106" s="95"/>
      <c r="BX106" s="95"/>
      <c r="BY106" s="96"/>
      <c r="BZ106" s="97"/>
      <c r="CA106" s="98"/>
      <c r="CB106" s="98"/>
      <c r="CC106" s="98"/>
      <c r="CD106" s="98"/>
      <c r="CE106" s="98"/>
      <c r="CF106" s="98"/>
      <c r="CG106" s="99"/>
    </row>
    <row r="107" spans="1:85">
      <c r="A107" s="80">
        <v>33</v>
      </c>
      <c r="B107" s="81"/>
      <c r="C107" s="81"/>
      <c r="D107" s="81"/>
      <c r="E107" s="81"/>
      <c r="F107" s="82"/>
      <c r="G107" s="83" t="str">
        <f>IFERROR(INDEX([1]INPUT_DATA_Learners!T:T,MATCH(#REF!,[1]INPUT_DATA_Learners!$A:$A,0)),"")</f>
        <v/>
      </c>
      <c r="H107" s="84"/>
      <c r="I107" s="84"/>
      <c r="J107" s="85"/>
      <c r="K107" s="86" t="s">
        <v>16</v>
      </c>
      <c r="L107" s="87"/>
      <c r="M107" s="88" t="s">
        <v>16</v>
      </c>
      <c r="N107" s="88" t="s">
        <v>16</v>
      </c>
      <c r="O107" s="89" t="s">
        <v>16</v>
      </c>
      <c r="P107" s="90"/>
      <c r="Q107" s="90"/>
      <c r="R107" s="87"/>
      <c r="S107" s="89" t="s">
        <v>16</v>
      </c>
      <c r="T107" s="90"/>
      <c r="U107" s="87"/>
      <c r="V107" s="91" t="s">
        <v>16</v>
      </c>
      <c r="W107" s="86" t="s">
        <v>16</v>
      </c>
      <c r="X107" s="90"/>
      <c r="Y107" s="87"/>
      <c r="Z107" s="88" t="s">
        <v>16</v>
      </c>
      <c r="AA107" s="88" t="s">
        <v>16</v>
      </c>
      <c r="AB107" s="89" t="s">
        <v>16</v>
      </c>
      <c r="AC107" s="90"/>
      <c r="AD107" s="87"/>
      <c r="AE107" s="89" t="s">
        <v>16</v>
      </c>
      <c r="AF107" s="90"/>
      <c r="AG107" s="87"/>
      <c r="AH107" s="91" t="s">
        <v>16</v>
      </c>
      <c r="AI107" s="86" t="s">
        <v>16</v>
      </c>
      <c r="AJ107" s="90"/>
      <c r="AK107" s="87"/>
      <c r="AL107" s="89" t="s">
        <v>16</v>
      </c>
      <c r="AM107" s="87"/>
      <c r="AN107" s="89" t="s">
        <v>16</v>
      </c>
      <c r="AO107" s="87"/>
      <c r="AP107" s="89" t="s">
        <v>16</v>
      </c>
      <c r="AQ107" s="87"/>
      <c r="AR107" s="88" t="s">
        <v>16</v>
      </c>
      <c r="AS107" s="89" t="s">
        <v>16</v>
      </c>
      <c r="AT107" s="92"/>
      <c r="AU107" s="93" t="s">
        <v>16</v>
      </c>
      <c r="AV107" s="88" t="s">
        <v>16</v>
      </c>
      <c r="AW107" s="89" t="s">
        <v>16</v>
      </c>
      <c r="AX107" s="87"/>
      <c r="AY107" s="89" t="s">
        <v>16</v>
      </c>
      <c r="AZ107" s="90"/>
      <c r="BA107" s="87"/>
      <c r="BB107" s="89" t="s">
        <v>16</v>
      </c>
      <c r="BC107" s="87"/>
      <c r="BD107" s="91" t="s">
        <v>16</v>
      </c>
      <c r="BE107" s="86" t="s">
        <v>16</v>
      </c>
      <c r="BF107" s="90"/>
      <c r="BG107" s="90"/>
      <c r="BH107" s="87"/>
      <c r="BI107" s="88" t="s">
        <v>16</v>
      </c>
      <c r="BJ107" s="88" t="s">
        <v>16</v>
      </c>
      <c r="BK107" s="89" t="s">
        <v>16</v>
      </c>
      <c r="BL107" s="87"/>
      <c r="BM107" s="89" t="s">
        <v>16</v>
      </c>
      <c r="BN107" s="87"/>
      <c r="BO107" s="89" t="s">
        <v>16</v>
      </c>
      <c r="BP107" s="90"/>
      <c r="BQ107" s="90"/>
      <c r="BR107" s="92"/>
      <c r="BS107" s="94">
        <f t="shared" si="8"/>
        <v>0</v>
      </c>
      <c r="BT107" s="95"/>
      <c r="BU107" s="96"/>
      <c r="BV107" s="94">
        <f t="shared" si="9"/>
        <v>0</v>
      </c>
      <c r="BW107" s="95"/>
      <c r="BX107" s="95"/>
      <c r="BY107" s="96"/>
      <c r="BZ107" s="97"/>
      <c r="CA107" s="98"/>
      <c r="CB107" s="98"/>
      <c r="CC107" s="98"/>
      <c r="CD107" s="98"/>
      <c r="CE107" s="98"/>
      <c r="CF107" s="98"/>
      <c r="CG107" s="99"/>
    </row>
    <row r="108" spans="1:85">
      <c r="A108" s="80">
        <v>34</v>
      </c>
      <c r="B108" s="81"/>
      <c r="C108" s="81"/>
      <c r="D108" s="81"/>
      <c r="E108" s="81"/>
      <c r="F108" s="82"/>
      <c r="G108" s="83" t="str">
        <f>IFERROR(INDEX([1]INPUT_DATA_Learners!T:T,MATCH(#REF!,[1]INPUT_DATA_Learners!$A:$A,0)),"")</f>
        <v/>
      </c>
      <c r="H108" s="84"/>
      <c r="I108" s="84"/>
      <c r="J108" s="85"/>
      <c r="K108" s="86" t="s">
        <v>16</v>
      </c>
      <c r="L108" s="87"/>
      <c r="M108" s="88" t="s">
        <v>16</v>
      </c>
      <c r="N108" s="88" t="s">
        <v>16</v>
      </c>
      <c r="O108" s="89" t="s">
        <v>16</v>
      </c>
      <c r="P108" s="90"/>
      <c r="Q108" s="90"/>
      <c r="R108" s="87"/>
      <c r="S108" s="89" t="s">
        <v>16</v>
      </c>
      <c r="T108" s="90"/>
      <c r="U108" s="87"/>
      <c r="V108" s="91" t="s">
        <v>16</v>
      </c>
      <c r="W108" s="86" t="s">
        <v>16</v>
      </c>
      <c r="X108" s="90"/>
      <c r="Y108" s="87"/>
      <c r="Z108" s="88" t="s">
        <v>16</v>
      </c>
      <c r="AA108" s="88" t="s">
        <v>16</v>
      </c>
      <c r="AB108" s="89" t="s">
        <v>16</v>
      </c>
      <c r="AC108" s="90"/>
      <c r="AD108" s="87"/>
      <c r="AE108" s="89" t="s">
        <v>16</v>
      </c>
      <c r="AF108" s="90"/>
      <c r="AG108" s="87"/>
      <c r="AH108" s="91" t="s">
        <v>16</v>
      </c>
      <c r="AI108" s="86" t="s">
        <v>16</v>
      </c>
      <c r="AJ108" s="90"/>
      <c r="AK108" s="87"/>
      <c r="AL108" s="89" t="s">
        <v>16</v>
      </c>
      <c r="AM108" s="87"/>
      <c r="AN108" s="89" t="s">
        <v>16</v>
      </c>
      <c r="AO108" s="87"/>
      <c r="AP108" s="89" t="s">
        <v>16</v>
      </c>
      <c r="AQ108" s="87"/>
      <c r="AR108" s="88" t="s">
        <v>16</v>
      </c>
      <c r="AS108" s="89" t="s">
        <v>16</v>
      </c>
      <c r="AT108" s="92"/>
      <c r="AU108" s="93" t="s">
        <v>16</v>
      </c>
      <c r="AV108" s="88" t="s">
        <v>16</v>
      </c>
      <c r="AW108" s="89" t="s">
        <v>16</v>
      </c>
      <c r="AX108" s="87"/>
      <c r="AY108" s="89" t="s">
        <v>16</v>
      </c>
      <c r="AZ108" s="90"/>
      <c r="BA108" s="87"/>
      <c r="BB108" s="89" t="s">
        <v>16</v>
      </c>
      <c r="BC108" s="87"/>
      <c r="BD108" s="91" t="s">
        <v>16</v>
      </c>
      <c r="BE108" s="86" t="s">
        <v>16</v>
      </c>
      <c r="BF108" s="90"/>
      <c r="BG108" s="90"/>
      <c r="BH108" s="87"/>
      <c r="BI108" s="88" t="s">
        <v>16</v>
      </c>
      <c r="BJ108" s="88" t="s">
        <v>16</v>
      </c>
      <c r="BK108" s="89" t="s">
        <v>16</v>
      </c>
      <c r="BL108" s="87"/>
      <c r="BM108" s="89" t="s">
        <v>16</v>
      </c>
      <c r="BN108" s="87"/>
      <c r="BO108" s="89" t="s">
        <v>16</v>
      </c>
      <c r="BP108" s="90"/>
      <c r="BQ108" s="90"/>
      <c r="BR108" s="92"/>
      <c r="BS108" s="94">
        <f t="shared" si="8"/>
        <v>0</v>
      </c>
      <c r="BT108" s="95"/>
      <c r="BU108" s="96"/>
      <c r="BV108" s="94">
        <f t="shared" si="9"/>
        <v>0</v>
      </c>
      <c r="BW108" s="95"/>
      <c r="BX108" s="95"/>
      <c r="BY108" s="96"/>
      <c r="BZ108" s="97"/>
      <c r="CA108" s="98"/>
      <c r="CB108" s="98"/>
      <c r="CC108" s="98"/>
      <c r="CD108" s="98"/>
      <c r="CE108" s="98"/>
      <c r="CF108" s="98"/>
      <c r="CG108" s="99"/>
    </row>
    <row r="109" spans="1:85">
      <c r="A109" s="80">
        <v>35</v>
      </c>
      <c r="B109" s="81"/>
      <c r="C109" s="81"/>
      <c r="D109" s="81"/>
      <c r="E109" s="81"/>
      <c r="F109" s="82"/>
      <c r="G109" s="83" t="str">
        <f>IFERROR(INDEX([1]INPUT_DATA_Learners!T:T,MATCH(#REF!,[1]INPUT_DATA_Learners!$A:$A,0)),"")</f>
        <v/>
      </c>
      <c r="H109" s="84"/>
      <c r="I109" s="84"/>
      <c r="J109" s="85"/>
      <c r="K109" s="86" t="s">
        <v>16</v>
      </c>
      <c r="L109" s="87"/>
      <c r="M109" s="88" t="s">
        <v>16</v>
      </c>
      <c r="N109" s="88" t="s">
        <v>16</v>
      </c>
      <c r="O109" s="89" t="s">
        <v>16</v>
      </c>
      <c r="P109" s="90"/>
      <c r="Q109" s="90"/>
      <c r="R109" s="87"/>
      <c r="S109" s="89" t="s">
        <v>16</v>
      </c>
      <c r="T109" s="90"/>
      <c r="U109" s="87"/>
      <c r="V109" s="91" t="s">
        <v>16</v>
      </c>
      <c r="W109" s="86" t="s">
        <v>16</v>
      </c>
      <c r="X109" s="90"/>
      <c r="Y109" s="87"/>
      <c r="Z109" s="88" t="s">
        <v>16</v>
      </c>
      <c r="AA109" s="88" t="s">
        <v>16</v>
      </c>
      <c r="AB109" s="89" t="s">
        <v>16</v>
      </c>
      <c r="AC109" s="90"/>
      <c r="AD109" s="87"/>
      <c r="AE109" s="89" t="s">
        <v>16</v>
      </c>
      <c r="AF109" s="90"/>
      <c r="AG109" s="87"/>
      <c r="AH109" s="91" t="s">
        <v>16</v>
      </c>
      <c r="AI109" s="86" t="s">
        <v>16</v>
      </c>
      <c r="AJ109" s="90"/>
      <c r="AK109" s="87"/>
      <c r="AL109" s="89" t="s">
        <v>16</v>
      </c>
      <c r="AM109" s="87"/>
      <c r="AN109" s="89" t="s">
        <v>16</v>
      </c>
      <c r="AO109" s="87"/>
      <c r="AP109" s="89" t="s">
        <v>16</v>
      </c>
      <c r="AQ109" s="87"/>
      <c r="AR109" s="88" t="s">
        <v>16</v>
      </c>
      <c r="AS109" s="89" t="s">
        <v>16</v>
      </c>
      <c r="AT109" s="92"/>
      <c r="AU109" s="93" t="s">
        <v>16</v>
      </c>
      <c r="AV109" s="88" t="s">
        <v>16</v>
      </c>
      <c r="AW109" s="89" t="s">
        <v>16</v>
      </c>
      <c r="AX109" s="87"/>
      <c r="AY109" s="89" t="s">
        <v>16</v>
      </c>
      <c r="AZ109" s="90"/>
      <c r="BA109" s="87"/>
      <c r="BB109" s="89" t="s">
        <v>16</v>
      </c>
      <c r="BC109" s="87"/>
      <c r="BD109" s="91" t="s">
        <v>16</v>
      </c>
      <c r="BE109" s="86" t="s">
        <v>16</v>
      </c>
      <c r="BF109" s="90"/>
      <c r="BG109" s="90"/>
      <c r="BH109" s="87"/>
      <c r="BI109" s="88" t="s">
        <v>16</v>
      </c>
      <c r="BJ109" s="88" t="s">
        <v>16</v>
      </c>
      <c r="BK109" s="89" t="s">
        <v>16</v>
      </c>
      <c r="BL109" s="87"/>
      <c r="BM109" s="89" t="s">
        <v>16</v>
      </c>
      <c r="BN109" s="87"/>
      <c r="BO109" s="89" t="s">
        <v>16</v>
      </c>
      <c r="BP109" s="90"/>
      <c r="BQ109" s="90"/>
      <c r="BR109" s="92"/>
      <c r="BS109" s="94">
        <f t="shared" si="8"/>
        <v>0</v>
      </c>
      <c r="BT109" s="95"/>
      <c r="BU109" s="96"/>
      <c r="BV109" s="94">
        <f t="shared" si="9"/>
        <v>0</v>
      </c>
      <c r="BW109" s="95"/>
      <c r="BX109" s="95"/>
      <c r="BY109" s="96"/>
      <c r="BZ109" s="97"/>
      <c r="CA109" s="98"/>
      <c r="CB109" s="98"/>
      <c r="CC109" s="98"/>
      <c r="CD109" s="98"/>
      <c r="CE109" s="98"/>
      <c r="CF109" s="98"/>
      <c r="CG109" s="99"/>
    </row>
    <row r="110" spans="1:85">
      <c r="A110" s="80">
        <v>36</v>
      </c>
      <c r="B110" s="81"/>
      <c r="C110" s="81"/>
      <c r="D110" s="81"/>
      <c r="E110" s="81"/>
      <c r="F110" s="82"/>
      <c r="G110" s="83" t="str">
        <f>IFERROR(INDEX([1]INPUT_DATA_Learners!T:T,MATCH(#REF!,[1]INPUT_DATA_Learners!$A:$A,0)),"")</f>
        <v/>
      </c>
      <c r="H110" s="84"/>
      <c r="I110" s="84"/>
      <c r="J110" s="85"/>
      <c r="K110" s="86" t="s">
        <v>16</v>
      </c>
      <c r="L110" s="87"/>
      <c r="M110" s="88" t="s">
        <v>16</v>
      </c>
      <c r="N110" s="88" t="s">
        <v>16</v>
      </c>
      <c r="O110" s="89" t="s">
        <v>16</v>
      </c>
      <c r="P110" s="90"/>
      <c r="Q110" s="90"/>
      <c r="R110" s="87"/>
      <c r="S110" s="89" t="s">
        <v>16</v>
      </c>
      <c r="T110" s="90"/>
      <c r="U110" s="87"/>
      <c r="V110" s="91" t="s">
        <v>16</v>
      </c>
      <c r="W110" s="86" t="s">
        <v>16</v>
      </c>
      <c r="X110" s="90"/>
      <c r="Y110" s="87"/>
      <c r="Z110" s="88" t="s">
        <v>16</v>
      </c>
      <c r="AA110" s="88" t="s">
        <v>16</v>
      </c>
      <c r="AB110" s="89" t="s">
        <v>16</v>
      </c>
      <c r="AC110" s="90"/>
      <c r="AD110" s="87"/>
      <c r="AE110" s="89" t="s">
        <v>16</v>
      </c>
      <c r="AF110" s="90"/>
      <c r="AG110" s="87"/>
      <c r="AH110" s="91" t="s">
        <v>16</v>
      </c>
      <c r="AI110" s="86" t="s">
        <v>16</v>
      </c>
      <c r="AJ110" s="90"/>
      <c r="AK110" s="87"/>
      <c r="AL110" s="89" t="s">
        <v>16</v>
      </c>
      <c r="AM110" s="87"/>
      <c r="AN110" s="89" t="s">
        <v>16</v>
      </c>
      <c r="AO110" s="87"/>
      <c r="AP110" s="89" t="s">
        <v>16</v>
      </c>
      <c r="AQ110" s="87"/>
      <c r="AR110" s="88" t="s">
        <v>16</v>
      </c>
      <c r="AS110" s="89" t="s">
        <v>16</v>
      </c>
      <c r="AT110" s="92"/>
      <c r="AU110" s="93" t="s">
        <v>16</v>
      </c>
      <c r="AV110" s="88" t="s">
        <v>16</v>
      </c>
      <c r="AW110" s="89" t="s">
        <v>16</v>
      </c>
      <c r="AX110" s="87"/>
      <c r="AY110" s="89" t="s">
        <v>16</v>
      </c>
      <c r="AZ110" s="90"/>
      <c r="BA110" s="87"/>
      <c r="BB110" s="89" t="s">
        <v>16</v>
      </c>
      <c r="BC110" s="87"/>
      <c r="BD110" s="91" t="s">
        <v>16</v>
      </c>
      <c r="BE110" s="86" t="s">
        <v>16</v>
      </c>
      <c r="BF110" s="90"/>
      <c r="BG110" s="90"/>
      <c r="BH110" s="87"/>
      <c r="BI110" s="88" t="s">
        <v>16</v>
      </c>
      <c r="BJ110" s="88" t="s">
        <v>16</v>
      </c>
      <c r="BK110" s="89" t="s">
        <v>16</v>
      </c>
      <c r="BL110" s="87"/>
      <c r="BM110" s="89" t="s">
        <v>16</v>
      </c>
      <c r="BN110" s="87"/>
      <c r="BO110" s="89" t="s">
        <v>16</v>
      </c>
      <c r="BP110" s="90"/>
      <c r="BQ110" s="90"/>
      <c r="BR110" s="92"/>
      <c r="BS110" s="94">
        <f t="shared" si="8"/>
        <v>0</v>
      </c>
      <c r="BT110" s="95"/>
      <c r="BU110" s="96"/>
      <c r="BV110" s="94">
        <f t="shared" si="9"/>
        <v>0</v>
      </c>
      <c r="BW110" s="95"/>
      <c r="BX110" s="95"/>
      <c r="BY110" s="96"/>
      <c r="BZ110" s="97"/>
      <c r="CA110" s="98"/>
      <c r="CB110" s="98"/>
      <c r="CC110" s="98"/>
      <c r="CD110" s="98"/>
      <c r="CE110" s="98"/>
      <c r="CF110" s="98"/>
      <c r="CG110" s="99"/>
    </row>
    <row r="111" spans="1:85">
      <c r="A111" s="80">
        <v>37</v>
      </c>
      <c r="B111" s="81"/>
      <c r="C111" s="81"/>
      <c r="D111" s="81"/>
      <c r="E111" s="81"/>
      <c r="F111" s="82"/>
      <c r="G111" s="83" t="str">
        <f>IFERROR(INDEX([1]INPUT_DATA_Learners!T:T,MATCH(#REF!,[1]INPUT_DATA_Learners!$A:$A,0)),"")</f>
        <v/>
      </c>
      <c r="H111" s="84"/>
      <c r="I111" s="84"/>
      <c r="J111" s="85"/>
      <c r="K111" s="86" t="s">
        <v>16</v>
      </c>
      <c r="L111" s="87"/>
      <c r="M111" s="88" t="s">
        <v>16</v>
      </c>
      <c r="N111" s="88" t="s">
        <v>16</v>
      </c>
      <c r="O111" s="89" t="s">
        <v>16</v>
      </c>
      <c r="P111" s="90"/>
      <c r="Q111" s="90"/>
      <c r="R111" s="87"/>
      <c r="S111" s="89" t="s">
        <v>16</v>
      </c>
      <c r="T111" s="90"/>
      <c r="U111" s="87"/>
      <c r="V111" s="91" t="s">
        <v>16</v>
      </c>
      <c r="W111" s="86" t="s">
        <v>16</v>
      </c>
      <c r="X111" s="90"/>
      <c r="Y111" s="87"/>
      <c r="Z111" s="88" t="s">
        <v>16</v>
      </c>
      <c r="AA111" s="88" t="s">
        <v>16</v>
      </c>
      <c r="AB111" s="89" t="s">
        <v>16</v>
      </c>
      <c r="AC111" s="90"/>
      <c r="AD111" s="87"/>
      <c r="AE111" s="89" t="s">
        <v>16</v>
      </c>
      <c r="AF111" s="90"/>
      <c r="AG111" s="87"/>
      <c r="AH111" s="91" t="s">
        <v>16</v>
      </c>
      <c r="AI111" s="86" t="s">
        <v>16</v>
      </c>
      <c r="AJ111" s="90"/>
      <c r="AK111" s="87"/>
      <c r="AL111" s="89" t="s">
        <v>16</v>
      </c>
      <c r="AM111" s="87"/>
      <c r="AN111" s="89" t="s">
        <v>16</v>
      </c>
      <c r="AO111" s="87"/>
      <c r="AP111" s="89" t="s">
        <v>16</v>
      </c>
      <c r="AQ111" s="87"/>
      <c r="AR111" s="88" t="s">
        <v>16</v>
      </c>
      <c r="AS111" s="89" t="s">
        <v>16</v>
      </c>
      <c r="AT111" s="92"/>
      <c r="AU111" s="93" t="s">
        <v>16</v>
      </c>
      <c r="AV111" s="88" t="s">
        <v>16</v>
      </c>
      <c r="AW111" s="89" t="s">
        <v>16</v>
      </c>
      <c r="AX111" s="87"/>
      <c r="AY111" s="89" t="s">
        <v>16</v>
      </c>
      <c r="AZ111" s="90"/>
      <c r="BA111" s="87"/>
      <c r="BB111" s="89" t="s">
        <v>16</v>
      </c>
      <c r="BC111" s="87"/>
      <c r="BD111" s="91" t="s">
        <v>16</v>
      </c>
      <c r="BE111" s="86" t="s">
        <v>16</v>
      </c>
      <c r="BF111" s="90"/>
      <c r="BG111" s="90"/>
      <c r="BH111" s="87"/>
      <c r="BI111" s="88" t="s">
        <v>16</v>
      </c>
      <c r="BJ111" s="88" t="s">
        <v>16</v>
      </c>
      <c r="BK111" s="89" t="s">
        <v>16</v>
      </c>
      <c r="BL111" s="87"/>
      <c r="BM111" s="89" t="s">
        <v>16</v>
      </c>
      <c r="BN111" s="87"/>
      <c r="BO111" s="89" t="s">
        <v>16</v>
      </c>
      <c r="BP111" s="90"/>
      <c r="BQ111" s="90"/>
      <c r="BR111" s="92"/>
      <c r="BS111" s="94">
        <f t="shared" si="8"/>
        <v>0</v>
      </c>
      <c r="BT111" s="95"/>
      <c r="BU111" s="96"/>
      <c r="BV111" s="94">
        <f t="shared" si="9"/>
        <v>0</v>
      </c>
      <c r="BW111" s="95"/>
      <c r="BX111" s="95"/>
      <c r="BY111" s="96"/>
      <c r="BZ111" s="97"/>
      <c r="CA111" s="98"/>
      <c r="CB111" s="98"/>
      <c r="CC111" s="98"/>
      <c r="CD111" s="98"/>
      <c r="CE111" s="98"/>
      <c r="CF111" s="98"/>
      <c r="CG111" s="99"/>
    </row>
    <row r="112" spans="1:85">
      <c r="A112" s="80">
        <v>38</v>
      </c>
      <c r="B112" s="81"/>
      <c r="C112" s="81"/>
      <c r="D112" s="81"/>
      <c r="E112" s="81"/>
      <c r="F112" s="82"/>
      <c r="G112" s="83" t="str">
        <f>IFERROR(INDEX([1]INPUT_DATA_Learners!T:T,MATCH(#REF!,[1]INPUT_DATA_Learners!$A:$A,0)),"")</f>
        <v/>
      </c>
      <c r="H112" s="84"/>
      <c r="I112" s="84"/>
      <c r="J112" s="85"/>
      <c r="K112" s="86" t="s">
        <v>16</v>
      </c>
      <c r="L112" s="87"/>
      <c r="M112" s="88" t="s">
        <v>16</v>
      </c>
      <c r="N112" s="88" t="s">
        <v>16</v>
      </c>
      <c r="O112" s="89" t="s">
        <v>16</v>
      </c>
      <c r="P112" s="90"/>
      <c r="Q112" s="90"/>
      <c r="R112" s="87"/>
      <c r="S112" s="89" t="s">
        <v>16</v>
      </c>
      <c r="T112" s="90"/>
      <c r="U112" s="87"/>
      <c r="V112" s="91" t="s">
        <v>16</v>
      </c>
      <c r="W112" s="86" t="s">
        <v>16</v>
      </c>
      <c r="X112" s="90"/>
      <c r="Y112" s="87"/>
      <c r="Z112" s="88" t="s">
        <v>16</v>
      </c>
      <c r="AA112" s="88" t="s">
        <v>16</v>
      </c>
      <c r="AB112" s="89" t="s">
        <v>16</v>
      </c>
      <c r="AC112" s="90"/>
      <c r="AD112" s="87"/>
      <c r="AE112" s="89" t="s">
        <v>16</v>
      </c>
      <c r="AF112" s="90"/>
      <c r="AG112" s="87"/>
      <c r="AH112" s="91" t="s">
        <v>16</v>
      </c>
      <c r="AI112" s="86" t="s">
        <v>16</v>
      </c>
      <c r="AJ112" s="90"/>
      <c r="AK112" s="87"/>
      <c r="AL112" s="89" t="s">
        <v>16</v>
      </c>
      <c r="AM112" s="87"/>
      <c r="AN112" s="89" t="s">
        <v>16</v>
      </c>
      <c r="AO112" s="87"/>
      <c r="AP112" s="89" t="s">
        <v>16</v>
      </c>
      <c r="AQ112" s="87"/>
      <c r="AR112" s="88" t="s">
        <v>16</v>
      </c>
      <c r="AS112" s="89" t="s">
        <v>16</v>
      </c>
      <c r="AT112" s="92"/>
      <c r="AU112" s="93" t="s">
        <v>16</v>
      </c>
      <c r="AV112" s="88" t="s">
        <v>16</v>
      </c>
      <c r="AW112" s="89" t="s">
        <v>16</v>
      </c>
      <c r="AX112" s="87"/>
      <c r="AY112" s="89" t="s">
        <v>16</v>
      </c>
      <c r="AZ112" s="90"/>
      <c r="BA112" s="87"/>
      <c r="BB112" s="89" t="s">
        <v>16</v>
      </c>
      <c r="BC112" s="87"/>
      <c r="BD112" s="91" t="s">
        <v>16</v>
      </c>
      <c r="BE112" s="86" t="s">
        <v>16</v>
      </c>
      <c r="BF112" s="90"/>
      <c r="BG112" s="90"/>
      <c r="BH112" s="87"/>
      <c r="BI112" s="88" t="s">
        <v>16</v>
      </c>
      <c r="BJ112" s="88" t="s">
        <v>16</v>
      </c>
      <c r="BK112" s="89" t="s">
        <v>16</v>
      </c>
      <c r="BL112" s="87"/>
      <c r="BM112" s="89" t="s">
        <v>16</v>
      </c>
      <c r="BN112" s="87"/>
      <c r="BO112" s="89" t="s">
        <v>16</v>
      </c>
      <c r="BP112" s="90"/>
      <c r="BQ112" s="90"/>
      <c r="BR112" s="92"/>
      <c r="BS112" s="94">
        <f t="shared" si="8"/>
        <v>0</v>
      </c>
      <c r="BT112" s="95"/>
      <c r="BU112" s="96"/>
      <c r="BV112" s="94">
        <f t="shared" si="9"/>
        <v>0</v>
      </c>
      <c r="BW112" s="95"/>
      <c r="BX112" s="95"/>
      <c r="BY112" s="96"/>
      <c r="BZ112" s="97"/>
      <c r="CA112" s="98"/>
      <c r="CB112" s="98"/>
      <c r="CC112" s="98"/>
      <c r="CD112" s="98"/>
      <c r="CE112" s="98"/>
      <c r="CF112" s="98"/>
      <c r="CG112" s="99"/>
    </row>
    <row r="113" spans="1:85">
      <c r="A113" s="80">
        <v>39</v>
      </c>
      <c r="B113" s="81"/>
      <c r="C113" s="81"/>
      <c r="D113" s="81"/>
      <c r="E113" s="81"/>
      <c r="F113" s="82"/>
      <c r="G113" s="83" t="str">
        <f>IFERROR(INDEX([1]INPUT_DATA_Learners!T:T,MATCH(#REF!,[1]INPUT_DATA_Learners!$A:$A,0)),"")</f>
        <v/>
      </c>
      <c r="H113" s="84"/>
      <c r="I113" s="84"/>
      <c r="J113" s="85"/>
      <c r="K113" s="86" t="s">
        <v>16</v>
      </c>
      <c r="L113" s="87"/>
      <c r="M113" s="88" t="s">
        <v>16</v>
      </c>
      <c r="N113" s="88" t="s">
        <v>16</v>
      </c>
      <c r="O113" s="89" t="s">
        <v>16</v>
      </c>
      <c r="P113" s="90"/>
      <c r="Q113" s="90"/>
      <c r="R113" s="87"/>
      <c r="S113" s="89" t="s">
        <v>16</v>
      </c>
      <c r="T113" s="90"/>
      <c r="U113" s="87"/>
      <c r="V113" s="91" t="s">
        <v>16</v>
      </c>
      <c r="W113" s="86" t="s">
        <v>16</v>
      </c>
      <c r="X113" s="90"/>
      <c r="Y113" s="87"/>
      <c r="Z113" s="88" t="s">
        <v>16</v>
      </c>
      <c r="AA113" s="88" t="s">
        <v>16</v>
      </c>
      <c r="AB113" s="89" t="s">
        <v>16</v>
      </c>
      <c r="AC113" s="90"/>
      <c r="AD113" s="87"/>
      <c r="AE113" s="89" t="s">
        <v>16</v>
      </c>
      <c r="AF113" s="90"/>
      <c r="AG113" s="87"/>
      <c r="AH113" s="91" t="s">
        <v>16</v>
      </c>
      <c r="AI113" s="86" t="s">
        <v>16</v>
      </c>
      <c r="AJ113" s="90"/>
      <c r="AK113" s="87"/>
      <c r="AL113" s="89" t="s">
        <v>16</v>
      </c>
      <c r="AM113" s="87"/>
      <c r="AN113" s="89" t="s">
        <v>16</v>
      </c>
      <c r="AO113" s="87"/>
      <c r="AP113" s="89" t="s">
        <v>16</v>
      </c>
      <c r="AQ113" s="87"/>
      <c r="AR113" s="88" t="s">
        <v>16</v>
      </c>
      <c r="AS113" s="89" t="s">
        <v>16</v>
      </c>
      <c r="AT113" s="92"/>
      <c r="AU113" s="93" t="s">
        <v>16</v>
      </c>
      <c r="AV113" s="88" t="s">
        <v>16</v>
      </c>
      <c r="AW113" s="89" t="s">
        <v>16</v>
      </c>
      <c r="AX113" s="87"/>
      <c r="AY113" s="89" t="s">
        <v>16</v>
      </c>
      <c r="AZ113" s="90"/>
      <c r="BA113" s="87"/>
      <c r="BB113" s="89" t="s">
        <v>16</v>
      </c>
      <c r="BC113" s="87"/>
      <c r="BD113" s="91" t="s">
        <v>16</v>
      </c>
      <c r="BE113" s="86" t="s">
        <v>16</v>
      </c>
      <c r="BF113" s="90"/>
      <c r="BG113" s="90"/>
      <c r="BH113" s="87"/>
      <c r="BI113" s="88" t="s">
        <v>16</v>
      </c>
      <c r="BJ113" s="88" t="s">
        <v>16</v>
      </c>
      <c r="BK113" s="89" t="s">
        <v>16</v>
      </c>
      <c r="BL113" s="87"/>
      <c r="BM113" s="89" t="s">
        <v>16</v>
      </c>
      <c r="BN113" s="87"/>
      <c r="BO113" s="89" t="s">
        <v>16</v>
      </c>
      <c r="BP113" s="90"/>
      <c r="BQ113" s="90"/>
      <c r="BR113" s="92"/>
      <c r="BS113" s="94">
        <f t="shared" si="8"/>
        <v>0</v>
      </c>
      <c r="BT113" s="95"/>
      <c r="BU113" s="96"/>
      <c r="BV113" s="94">
        <f t="shared" si="9"/>
        <v>0</v>
      </c>
      <c r="BW113" s="95"/>
      <c r="BX113" s="95"/>
      <c r="BY113" s="96"/>
      <c r="BZ113" s="97"/>
      <c r="CA113" s="98"/>
      <c r="CB113" s="98"/>
      <c r="CC113" s="98"/>
      <c r="CD113" s="98"/>
      <c r="CE113" s="98"/>
      <c r="CF113" s="98"/>
      <c r="CG113" s="99"/>
    </row>
    <row r="114" spans="1:85">
      <c r="A114" s="80">
        <v>40</v>
      </c>
      <c r="B114" s="81"/>
      <c r="C114" s="81"/>
      <c r="D114" s="81"/>
      <c r="E114" s="81"/>
      <c r="F114" s="82"/>
      <c r="G114" s="83" t="str">
        <f>IFERROR(INDEX([1]INPUT_DATA_Learners!T:T,MATCH(#REF!,[1]INPUT_DATA_Learners!$A:$A,0)),"")</f>
        <v/>
      </c>
      <c r="H114" s="84"/>
      <c r="I114" s="84"/>
      <c r="J114" s="85"/>
      <c r="K114" s="86" t="s">
        <v>16</v>
      </c>
      <c r="L114" s="87"/>
      <c r="M114" s="88" t="s">
        <v>16</v>
      </c>
      <c r="N114" s="88" t="s">
        <v>16</v>
      </c>
      <c r="O114" s="89" t="s">
        <v>16</v>
      </c>
      <c r="P114" s="90"/>
      <c r="Q114" s="90"/>
      <c r="R114" s="87"/>
      <c r="S114" s="89" t="s">
        <v>16</v>
      </c>
      <c r="T114" s="90"/>
      <c r="U114" s="87"/>
      <c r="V114" s="91" t="s">
        <v>16</v>
      </c>
      <c r="W114" s="86" t="s">
        <v>16</v>
      </c>
      <c r="X114" s="90"/>
      <c r="Y114" s="87"/>
      <c r="Z114" s="88" t="s">
        <v>16</v>
      </c>
      <c r="AA114" s="88" t="s">
        <v>16</v>
      </c>
      <c r="AB114" s="89" t="s">
        <v>16</v>
      </c>
      <c r="AC114" s="90"/>
      <c r="AD114" s="87"/>
      <c r="AE114" s="89" t="s">
        <v>16</v>
      </c>
      <c r="AF114" s="90"/>
      <c r="AG114" s="87"/>
      <c r="AH114" s="91" t="s">
        <v>16</v>
      </c>
      <c r="AI114" s="86" t="s">
        <v>16</v>
      </c>
      <c r="AJ114" s="90"/>
      <c r="AK114" s="87"/>
      <c r="AL114" s="89" t="s">
        <v>16</v>
      </c>
      <c r="AM114" s="87"/>
      <c r="AN114" s="89" t="s">
        <v>16</v>
      </c>
      <c r="AO114" s="87"/>
      <c r="AP114" s="89" t="s">
        <v>16</v>
      </c>
      <c r="AQ114" s="87"/>
      <c r="AR114" s="88" t="s">
        <v>16</v>
      </c>
      <c r="AS114" s="89" t="s">
        <v>16</v>
      </c>
      <c r="AT114" s="92"/>
      <c r="AU114" s="93" t="s">
        <v>16</v>
      </c>
      <c r="AV114" s="88" t="s">
        <v>16</v>
      </c>
      <c r="AW114" s="89" t="s">
        <v>16</v>
      </c>
      <c r="AX114" s="87"/>
      <c r="AY114" s="89" t="s">
        <v>16</v>
      </c>
      <c r="AZ114" s="90"/>
      <c r="BA114" s="87"/>
      <c r="BB114" s="89" t="s">
        <v>16</v>
      </c>
      <c r="BC114" s="87"/>
      <c r="BD114" s="91" t="s">
        <v>16</v>
      </c>
      <c r="BE114" s="86" t="s">
        <v>16</v>
      </c>
      <c r="BF114" s="90"/>
      <c r="BG114" s="90"/>
      <c r="BH114" s="87"/>
      <c r="BI114" s="88" t="s">
        <v>16</v>
      </c>
      <c r="BJ114" s="88" t="s">
        <v>16</v>
      </c>
      <c r="BK114" s="89" t="s">
        <v>16</v>
      </c>
      <c r="BL114" s="87"/>
      <c r="BM114" s="89" t="s">
        <v>16</v>
      </c>
      <c r="BN114" s="87"/>
      <c r="BO114" s="89" t="s">
        <v>16</v>
      </c>
      <c r="BP114" s="90"/>
      <c r="BQ114" s="90"/>
      <c r="BR114" s="92"/>
      <c r="BS114" s="94">
        <f t="shared" si="8"/>
        <v>0</v>
      </c>
      <c r="BT114" s="95"/>
      <c r="BU114" s="96"/>
      <c r="BV114" s="94">
        <f t="shared" si="9"/>
        <v>0</v>
      </c>
      <c r="BW114" s="95"/>
      <c r="BX114" s="95"/>
      <c r="BY114" s="96"/>
      <c r="BZ114" s="97"/>
      <c r="CA114" s="98"/>
      <c r="CB114" s="98"/>
      <c r="CC114" s="98"/>
      <c r="CD114" s="98"/>
      <c r="CE114" s="98"/>
      <c r="CF114" s="98"/>
      <c r="CG114" s="99"/>
    </row>
    <row r="115" spans="1:85">
      <c r="A115" s="80">
        <v>41</v>
      </c>
      <c r="B115" s="81"/>
      <c r="C115" s="81"/>
      <c r="D115" s="81"/>
      <c r="E115" s="81"/>
      <c r="F115" s="82"/>
      <c r="G115" s="83" t="str">
        <f>IFERROR(INDEX([1]INPUT_DATA_Learners!T:T,MATCH(#REF!,[1]INPUT_DATA_Learners!$A:$A,0)),"")</f>
        <v/>
      </c>
      <c r="H115" s="84"/>
      <c r="I115" s="84"/>
      <c r="J115" s="85"/>
      <c r="K115" s="86" t="s">
        <v>16</v>
      </c>
      <c r="L115" s="87"/>
      <c r="M115" s="88" t="s">
        <v>16</v>
      </c>
      <c r="N115" s="88" t="s">
        <v>16</v>
      </c>
      <c r="O115" s="89" t="s">
        <v>16</v>
      </c>
      <c r="P115" s="90"/>
      <c r="Q115" s="90"/>
      <c r="R115" s="87"/>
      <c r="S115" s="89" t="s">
        <v>16</v>
      </c>
      <c r="T115" s="90"/>
      <c r="U115" s="87"/>
      <c r="V115" s="91" t="s">
        <v>16</v>
      </c>
      <c r="W115" s="86" t="s">
        <v>16</v>
      </c>
      <c r="X115" s="90"/>
      <c r="Y115" s="87"/>
      <c r="Z115" s="88" t="s">
        <v>16</v>
      </c>
      <c r="AA115" s="88" t="s">
        <v>16</v>
      </c>
      <c r="AB115" s="89" t="s">
        <v>16</v>
      </c>
      <c r="AC115" s="90"/>
      <c r="AD115" s="87"/>
      <c r="AE115" s="89" t="s">
        <v>16</v>
      </c>
      <c r="AF115" s="90"/>
      <c r="AG115" s="87"/>
      <c r="AH115" s="91" t="s">
        <v>16</v>
      </c>
      <c r="AI115" s="86" t="s">
        <v>16</v>
      </c>
      <c r="AJ115" s="90"/>
      <c r="AK115" s="87"/>
      <c r="AL115" s="89" t="s">
        <v>16</v>
      </c>
      <c r="AM115" s="87"/>
      <c r="AN115" s="89" t="s">
        <v>16</v>
      </c>
      <c r="AO115" s="87"/>
      <c r="AP115" s="89" t="s">
        <v>16</v>
      </c>
      <c r="AQ115" s="87"/>
      <c r="AR115" s="88" t="s">
        <v>16</v>
      </c>
      <c r="AS115" s="89" t="s">
        <v>16</v>
      </c>
      <c r="AT115" s="92"/>
      <c r="AU115" s="93" t="s">
        <v>16</v>
      </c>
      <c r="AV115" s="88" t="s">
        <v>16</v>
      </c>
      <c r="AW115" s="89" t="s">
        <v>16</v>
      </c>
      <c r="AX115" s="87"/>
      <c r="AY115" s="89" t="s">
        <v>16</v>
      </c>
      <c r="AZ115" s="90"/>
      <c r="BA115" s="87"/>
      <c r="BB115" s="89" t="s">
        <v>16</v>
      </c>
      <c r="BC115" s="87"/>
      <c r="BD115" s="91" t="s">
        <v>16</v>
      </c>
      <c r="BE115" s="86" t="s">
        <v>16</v>
      </c>
      <c r="BF115" s="90"/>
      <c r="BG115" s="90"/>
      <c r="BH115" s="87"/>
      <c r="BI115" s="88" t="s">
        <v>16</v>
      </c>
      <c r="BJ115" s="88" t="s">
        <v>16</v>
      </c>
      <c r="BK115" s="89" t="s">
        <v>16</v>
      </c>
      <c r="BL115" s="87"/>
      <c r="BM115" s="89" t="s">
        <v>16</v>
      </c>
      <c r="BN115" s="87"/>
      <c r="BO115" s="89" t="s">
        <v>16</v>
      </c>
      <c r="BP115" s="90"/>
      <c r="BQ115" s="90"/>
      <c r="BR115" s="92"/>
      <c r="BS115" s="94">
        <f t="shared" si="8"/>
        <v>0</v>
      </c>
      <c r="BT115" s="95"/>
      <c r="BU115" s="96"/>
      <c r="BV115" s="94">
        <f t="shared" si="9"/>
        <v>0</v>
      </c>
      <c r="BW115" s="95"/>
      <c r="BX115" s="95"/>
      <c r="BY115" s="96"/>
      <c r="BZ115" s="97"/>
      <c r="CA115" s="98"/>
      <c r="CB115" s="98"/>
      <c r="CC115" s="98"/>
      <c r="CD115" s="98"/>
      <c r="CE115" s="98"/>
      <c r="CF115" s="98"/>
      <c r="CG115" s="99"/>
    </row>
    <row r="116" spans="1:85">
      <c r="A116" s="80">
        <v>42</v>
      </c>
      <c r="B116" s="81"/>
      <c r="C116" s="81"/>
      <c r="D116" s="81"/>
      <c r="E116" s="81"/>
      <c r="F116" s="82"/>
      <c r="G116" s="83" t="str">
        <f>IFERROR(INDEX([1]INPUT_DATA_Learners!T:T,MATCH(#REF!,[1]INPUT_DATA_Learners!$A:$A,0)),"")</f>
        <v/>
      </c>
      <c r="H116" s="84"/>
      <c r="I116" s="84"/>
      <c r="J116" s="85"/>
      <c r="K116" s="86" t="s">
        <v>16</v>
      </c>
      <c r="L116" s="87"/>
      <c r="M116" s="88" t="s">
        <v>16</v>
      </c>
      <c r="N116" s="88" t="s">
        <v>16</v>
      </c>
      <c r="O116" s="89" t="s">
        <v>16</v>
      </c>
      <c r="P116" s="90"/>
      <c r="Q116" s="90"/>
      <c r="R116" s="87"/>
      <c r="S116" s="89" t="s">
        <v>16</v>
      </c>
      <c r="T116" s="90"/>
      <c r="U116" s="87"/>
      <c r="V116" s="91" t="s">
        <v>16</v>
      </c>
      <c r="W116" s="86" t="s">
        <v>16</v>
      </c>
      <c r="X116" s="90"/>
      <c r="Y116" s="87"/>
      <c r="Z116" s="88" t="s">
        <v>16</v>
      </c>
      <c r="AA116" s="88" t="s">
        <v>16</v>
      </c>
      <c r="AB116" s="89" t="s">
        <v>16</v>
      </c>
      <c r="AC116" s="90"/>
      <c r="AD116" s="87"/>
      <c r="AE116" s="89" t="s">
        <v>16</v>
      </c>
      <c r="AF116" s="90"/>
      <c r="AG116" s="87"/>
      <c r="AH116" s="91" t="s">
        <v>16</v>
      </c>
      <c r="AI116" s="86" t="s">
        <v>16</v>
      </c>
      <c r="AJ116" s="90"/>
      <c r="AK116" s="87"/>
      <c r="AL116" s="89" t="s">
        <v>16</v>
      </c>
      <c r="AM116" s="87"/>
      <c r="AN116" s="89" t="s">
        <v>16</v>
      </c>
      <c r="AO116" s="87"/>
      <c r="AP116" s="89" t="s">
        <v>16</v>
      </c>
      <c r="AQ116" s="87"/>
      <c r="AR116" s="88" t="s">
        <v>16</v>
      </c>
      <c r="AS116" s="89" t="s">
        <v>16</v>
      </c>
      <c r="AT116" s="92"/>
      <c r="AU116" s="93" t="s">
        <v>16</v>
      </c>
      <c r="AV116" s="88" t="s">
        <v>16</v>
      </c>
      <c r="AW116" s="89" t="s">
        <v>16</v>
      </c>
      <c r="AX116" s="87"/>
      <c r="AY116" s="89" t="s">
        <v>16</v>
      </c>
      <c r="AZ116" s="90"/>
      <c r="BA116" s="87"/>
      <c r="BB116" s="89" t="s">
        <v>16</v>
      </c>
      <c r="BC116" s="87"/>
      <c r="BD116" s="91" t="s">
        <v>16</v>
      </c>
      <c r="BE116" s="86" t="s">
        <v>16</v>
      </c>
      <c r="BF116" s="90"/>
      <c r="BG116" s="90"/>
      <c r="BH116" s="87"/>
      <c r="BI116" s="88" t="s">
        <v>16</v>
      </c>
      <c r="BJ116" s="88" t="s">
        <v>16</v>
      </c>
      <c r="BK116" s="89" t="s">
        <v>16</v>
      </c>
      <c r="BL116" s="87"/>
      <c r="BM116" s="89" t="s">
        <v>16</v>
      </c>
      <c r="BN116" s="87"/>
      <c r="BO116" s="89" t="s">
        <v>16</v>
      </c>
      <c r="BP116" s="90"/>
      <c r="BQ116" s="90"/>
      <c r="BR116" s="92"/>
      <c r="BS116" s="94">
        <f t="shared" si="8"/>
        <v>0</v>
      </c>
      <c r="BT116" s="95"/>
      <c r="BU116" s="96"/>
      <c r="BV116" s="94">
        <f t="shared" si="9"/>
        <v>0</v>
      </c>
      <c r="BW116" s="95"/>
      <c r="BX116" s="95"/>
      <c r="BY116" s="96"/>
      <c r="BZ116" s="97"/>
      <c r="CA116" s="98"/>
      <c r="CB116" s="98"/>
      <c r="CC116" s="98"/>
      <c r="CD116" s="98"/>
      <c r="CE116" s="98"/>
      <c r="CF116" s="98"/>
      <c r="CG116" s="99"/>
    </row>
    <row r="117" spans="1:85">
      <c r="A117" s="80">
        <v>43</v>
      </c>
      <c r="B117" s="81"/>
      <c r="C117" s="81"/>
      <c r="D117" s="81"/>
      <c r="E117" s="81"/>
      <c r="F117" s="82"/>
      <c r="G117" s="83" t="str">
        <f>IFERROR(INDEX([1]INPUT_DATA_Learners!T:T,MATCH(#REF!,[1]INPUT_DATA_Learners!$A:$A,0)),"")</f>
        <v/>
      </c>
      <c r="H117" s="84"/>
      <c r="I117" s="84"/>
      <c r="J117" s="85"/>
      <c r="K117" s="86" t="s">
        <v>16</v>
      </c>
      <c r="L117" s="87"/>
      <c r="M117" s="88" t="s">
        <v>16</v>
      </c>
      <c r="N117" s="88" t="s">
        <v>16</v>
      </c>
      <c r="O117" s="89" t="s">
        <v>16</v>
      </c>
      <c r="P117" s="90"/>
      <c r="Q117" s="90"/>
      <c r="R117" s="87"/>
      <c r="S117" s="89" t="s">
        <v>16</v>
      </c>
      <c r="T117" s="90"/>
      <c r="U117" s="87"/>
      <c r="V117" s="91" t="s">
        <v>16</v>
      </c>
      <c r="W117" s="86" t="s">
        <v>16</v>
      </c>
      <c r="X117" s="90"/>
      <c r="Y117" s="87"/>
      <c r="Z117" s="88" t="s">
        <v>16</v>
      </c>
      <c r="AA117" s="88" t="s">
        <v>16</v>
      </c>
      <c r="AB117" s="89" t="s">
        <v>16</v>
      </c>
      <c r="AC117" s="90"/>
      <c r="AD117" s="87"/>
      <c r="AE117" s="89" t="s">
        <v>16</v>
      </c>
      <c r="AF117" s="90"/>
      <c r="AG117" s="87"/>
      <c r="AH117" s="91" t="s">
        <v>16</v>
      </c>
      <c r="AI117" s="86" t="s">
        <v>16</v>
      </c>
      <c r="AJ117" s="90"/>
      <c r="AK117" s="87"/>
      <c r="AL117" s="89" t="s">
        <v>16</v>
      </c>
      <c r="AM117" s="87"/>
      <c r="AN117" s="89" t="s">
        <v>16</v>
      </c>
      <c r="AO117" s="87"/>
      <c r="AP117" s="89" t="s">
        <v>16</v>
      </c>
      <c r="AQ117" s="87"/>
      <c r="AR117" s="88" t="s">
        <v>16</v>
      </c>
      <c r="AS117" s="89" t="s">
        <v>16</v>
      </c>
      <c r="AT117" s="92"/>
      <c r="AU117" s="93" t="s">
        <v>16</v>
      </c>
      <c r="AV117" s="88" t="s">
        <v>16</v>
      </c>
      <c r="AW117" s="89" t="s">
        <v>16</v>
      </c>
      <c r="AX117" s="87"/>
      <c r="AY117" s="89" t="s">
        <v>16</v>
      </c>
      <c r="AZ117" s="90"/>
      <c r="BA117" s="87"/>
      <c r="BB117" s="89" t="s">
        <v>16</v>
      </c>
      <c r="BC117" s="87"/>
      <c r="BD117" s="91" t="s">
        <v>16</v>
      </c>
      <c r="BE117" s="86" t="s">
        <v>16</v>
      </c>
      <c r="BF117" s="90"/>
      <c r="BG117" s="90"/>
      <c r="BH117" s="87"/>
      <c r="BI117" s="88" t="s">
        <v>16</v>
      </c>
      <c r="BJ117" s="88" t="s">
        <v>16</v>
      </c>
      <c r="BK117" s="89" t="s">
        <v>16</v>
      </c>
      <c r="BL117" s="87"/>
      <c r="BM117" s="89" t="s">
        <v>16</v>
      </c>
      <c r="BN117" s="87"/>
      <c r="BO117" s="89" t="s">
        <v>16</v>
      </c>
      <c r="BP117" s="90"/>
      <c r="BQ117" s="90"/>
      <c r="BR117" s="92"/>
      <c r="BS117" s="94">
        <f t="shared" si="8"/>
        <v>0</v>
      </c>
      <c r="BT117" s="95"/>
      <c r="BU117" s="96"/>
      <c r="BV117" s="94">
        <f t="shared" si="9"/>
        <v>0</v>
      </c>
      <c r="BW117" s="95"/>
      <c r="BX117" s="95"/>
      <c r="BY117" s="96"/>
      <c r="BZ117" s="97"/>
      <c r="CA117" s="98"/>
      <c r="CB117" s="98"/>
      <c r="CC117" s="98"/>
      <c r="CD117" s="98"/>
      <c r="CE117" s="98"/>
      <c r="CF117" s="98"/>
      <c r="CG117" s="99"/>
    </row>
    <row r="118" spans="1:85">
      <c r="A118" s="80">
        <v>44</v>
      </c>
      <c r="B118" s="81"/>
      <c r="C118" s="81"/>
      <c r="D118" s="81"/>
      <c r="E118" s="81"/>
      <c r="F118" s="82"/>
      <c r="G118" s="83" t="str">
        <f>IFERROR(INDEX([1]INPUT_DATA_Learners!T:T,MATCH(#REF!,[1]INPUT_DATA_Learners!$A:$A,0)),"")</f>
        <v/>
      </c>
      <c r="H118" s="84"/>
      <c r="I118" s="84"/>
      <c r="J118" s="85"/>
      <c r="K118" s="86" t="s">
        <v>16</v>
      </c>
      <c r="L118" s="87"/>
      <c r="M118" s="88" t="s">
        <v>16</v>
      </c>
      <c r="N118" s="88" t="s">
        <v>16</v>
      </c>
      <c r="O118" s="89" t="s">
        <v>16</v>
      </c>
      <c r="P118" s="90"/>
      <c r="Q118" s="90"/>
      <c r="R118" s="87"/>
      <c r="S118" s="89" t="s">
        <v>16</v>
      </c>
      <c r="T118" s="90"/>
      <c r="U118" s="87"/>
      <c r="V118" s="91" t="s">
        <v>16</v>
      </c>
      <c r="W118" s="86" t="s">
        <v>16</v>
      </c>
      <c r="X118" s="90"/>
      <c r="Y118" s="87"/>
      <c r="Z118" s="88" t="s">
        <v>16</v>
      </c>
      <c r="AA118" s="88" t="s">
        <v>16</v>
      </c>
      <c r="AB118" s="89" t="s">
        <v>16</v>
      </c>
      <c r="AC118" s="90"/>
      <c r="AD118" s="87"/>
      <c r="AE118" s="89" t="s">
        <v>16</v>
      </c>
      <c r="AF118" s="90"/>
      <c r="AG118" s="87"/>
      <c r="AH118" s="91" t="s">
        <v>16</v>
      </c>
      <c r="AI118" s="86" t="s">
        <v>16</v>
      </c>
      <c r="AJ118" s="90"/>
      <c r="AK118" s="87"/>
      <c r="AL118" s="89" t="s">
        <v>16</v>
      </c>
      <c r="AM118" s="87"/>
      <c r="AN118" s="89" t="s">
        <v>16</v>
      </c>
      <c r="AO118" s="87"/>
      <c r="AP118" s="89" t="s">
        <v>16</v>
      </c>
      <c r="AQ118" s="87"/>
      <c r="AR118" s="88" t="s">
        <v>16</v>
      </c>
      <c r="AS118" s="89" t="s">
        <v>16</v>
      </c>
      <c r="AT118" s="92"/>
      <c r="AU118" s="93" t="s">
        <v>16</v>
      </c>
      <c r="AV118" s="88" t="s">
        <v>16</v>
      </c>
      <c r="AW118" s="89" t="s">
        <v>16</v>
      </c>
      <c r="AX118" s="87"/>
      <c r="AY118" s="89" t="s">
        <v>16</v>
      </c>
      <c r="AZ118" s="90"/>
      <c r="BA118" s="87"/>
      <c r="BB118" s="89" t="s">
        <v>16</v>
      </c>
      <c r="BC118" s="87"/>
      <c r="BD118" s="91" t="s">
        <v>16</v>
      </c>
      <c r="BE118" s="86" t="s">
        <v>16</v>
      </c>
      <c r="BF118" s="90"/>
      <c r="BG118" s="90"/>
      <c r="BH118" s="87"/>
      <c r="BI118" s="88" t="s">
        <v>16</v>
      </c>
      <c r="BJ118" s="88" t="s">
        <v>16</v>
      </c>
      <c r="BK118" s="89" t="s">
        <v>16</v>
      </c>
      <c r="BL118" s="87"/>
      <c r="BM118" s="89" t="s">
        <v>16</v>
      </c>
      <c r="BN118" s="87"/>
      <c r="BO118" s="89" t="s">
        <v>16</v>
      </c>
      <c r="BP118" s="90"/>
      <c r="BQ118" s="90"/>
      <c r="BR118" s="92"/>
      <c r="BS118" s="94">
        <f t="shared" si="8"/>
        <v>0</v>
      </c>
      <c r="BT118" s="95"/>
      <c r="BU118" s="96"/>
      <c r="BV118" s="94">
        <f t="shared" si="9"/>
        <v>0</v>
      </c>
      <c r="BW118" s="95"/>
      <c r="BX118" s="95"/>
      <c r="BY118" s="96"/>
      <c r="BZ118" s="97"/>
      <c r="CA118" s="98"/>
      <c r="CB118" s="98"/>
      <c r="CC118" s="98"/>
      <c r="CD118" s="98"/>
      <c r="CE118" s="98"/>
      <c r="CF118" s="98"/>
      <c r="CG118" s="99"/>
    </row>
    <row r="119" spans="1:85">
      <c r="A119" s="80">
        <v>45</v>
      </c>
      <c r="B119" s="81"/>
      <c r="C119" s="81"/>
      <c r="D119" s="81"/>
      <c r="E119" s="81"/>
      <c r="F119" s="82"/>
      <c r="G119" s="83" t="str">
        <f>IFERROR(INDEX([1]INPUT_DATA_Learners!T:T,MATCH(#REF!,[1]INPUT_DATA_Learners!$A:$A,0)),"")</f>
        <v/>
      </c>
      <c r="H119" s="84"/>
      <c r="I119" s="84"/>
      <c r="J119" s="85"/>
      <c r="K119" s="86" t="s">
        <v>16</v>
      </c>
      <c r="L119" s="87"/>
      <c r="M119" s="88" t="s">
        <v>16</v>
      </c>
      <c r="N119" s="88" t="s">
        <v>16</v>
      </c>
      <c r="O119" s="89" t="s">
        <v>16</v>
      </c>
      <c r="P119" s="90"/>
      <c r="Q119" s="90"/>
      <c r="R119" s="87"/>
      <c r="S119" s="89" t="s">
        <v>16</v>
      </c>
      <c r="T119" s="90"/>
      <c r="U119" s="87"/>
      <c r="V119" s="91" t="s">
        <v>16</v>
      </c>
      <c r="W119" s="86" t="s">
        <v>16</v>
      </c>
      <c r="X119" s="90"/>
      <c r="Y119" s="87"/>
      <c r="Z119" s="88" t="s">
        <v>16</v>
      </c>
      <c r="AA119" s="88" t="s">
        <v>16</v>
      </c>
      <c r="AB119" s="89" t="s">
        <v>16</v>
      </c>
      <c r="AC119" s="90"/>
      <c r="AD119" s="87"/>
      <c r="AE119" s="89" t="s">
        <v>16</v>
      </c>
      <c r="AF119" s="90"/>
      <c r="AG119" s="87"/>
      <c r="AH119" s="91" t="s">
        <v>16</v>
      </c>
      <c r="AI119" s="86" t="s">
        <v>16</v>
      </c>
      <c r="AJ119" s="90"/>
      <c r="AK119" s="87"/>
      <c r="AL119" s="89" t="s">
        <v>16</v>
      </c>
      <c r="AM119" s="87"/>
      <c r="AN119" s="89" t="s">
        <v>16</v>
      </c>
      <c r="AO119" s="87"/>
      <c r="AP119" s="89" t="s">
        <v>16</v>
      </c>
      <c r="AQ119" s="87"/>
      <c r="AR119" s="88" t="s">
        <v>16</v>
      </c>
      <c r="AS119" s="89" t="s">
        <v>16</v>
      </c>
      <c r="AT119" s="92"/>
      <c r="AU119" s="93" t="s">
        <v>16</v>
      </c>
      <c r="AV119" s="88" t="s">
        <v>16</v>
      </c>
      <c r="AW119" s="89" t="s">
        <v>16</v>
      </c>
      <c r="AX119" s="87"/>
      <c r="AY119" s="89" t="s">
        <v>16</v>
      </c>
      <c r="AZ119" s="90"/>
      <c r="BA119" s="87"/>
      <c r="BB119" s="89" t="s">
        <v>16</v>
      </c>
      <c r="BC119" s="87"/>
      <c r="BD119" s="91" t="s">
        <v>16</v>
      </c>
      <c r="BE119" s="86" t="s">
        <v>16</v>
      </c>
      <c r="BF119" s="90"/>
      <c r="BG119" s="90"/>
      <c r="BH119" s="87"/>
      <c r="BI119" s="88" t="s">
        <v>16</v>
      </c>
      <c r="BJ119" s="88" t="s">
        <v>16</v>
      </c>
      <c r="BK119" s="89" t="s">
        <v>16</v>
      </c>
      <c r="BL119" s="87"/>
      <c r="BM119" s="89" t="s">
        <v>16</v>
      </c>
      <c r="BN119" s="87"/>
      <c r="BO119" s="89" t="s">
        <v>16</v>
      </c>
      <c r="BP119" s="90"/>
      <c r="BQ119" s="90"/>
      <c r="BR119" s="92"/>
      <c r="BS119" s="94">
        <f t="shared" si="8"/>
        <v>0</v>
      </c>
      <c r="BT119" s="95"/>
      <c r="BU119" s="96"/>
      <c r="BV119" s="94">
        <f t="shared" si="9"/>
        <v>0</v>
      </c>
      <c r="BW119" s="95"/>
      <c r="BX119" s="95"/>
      <c r="BY119" s="96"/>
      <c r="BZ119" s="97"/>
      <c r="CA119" s="98"/>
      <c r="CB119" s="98"/>
      <c r="CC119" s="98"/>
      <c r="CD119" s="98"/>
      <c r="CE119" s="98"/>
      <c r="CF119" s="98"/>
      <c r="CG119" s="99"/>
    </row>
    <row r="120" spans="1:85">
      <c r="A120" s="80">
        <v>46</v>
      </c>
      <c r="B120" s="81"/>
      <c r="C120" s="81"/>
      <c r="D120" s="81"/>
      <c r="E120" s="81"/>
      <c r="F120" s="82"/>
      <c r="G120" s="83" t="str">
        <f>IFERROR(INDEX([1]INPUT_DATA_Learners!T:T,MATCH(#REF!,[1]INPUT_DATA_Learners!$A:$A,0)),"")</f>
        <v/>
      </c>
      <c r="H120" s="84"/>
      <c r="I120" s="84"/>
      <c r="J120" s="85"/>
      <c r="K120" s="86" t="s">
        <v>16</v>
      </c>
      <c r="L120" s="87"/>
      <c r="M120" s="88" t="s">
        <v>16</v>
      </c>
      <c r="N120" s="88" t="s">
        <v>16</v>
      </c>
      <c r="O120" s="89" t="s">
        <v>16</v>
      </c>
      <c r="P120" s="90"/>
      <c r="Q120" s="90"/>
      <c r="R120" s="87"/>
      <c r="S120" s="89" t="s">
        <v>16</v>
      </c>
      <c r="T120" s="90"/>
      <c r="U120" s="87"/>
      <c r="V120" s="91" t="s">
        <v>16</v>
      </c>
      <c r="W120" s="86" t="s">
        <v>16</v>
      </c>
      <c r="X120" s="90"/>
      <c r="Y120" s="87"/>
      <c r="Z120" s="88" t="s">
        <v>16</v>
      </c>
      <c r="AA120" s="88" t="s">
        <v>16</v>
      </c>
      <c r="AB120" s="89" t="s">
        <v>16</v>
      </c>
      <c r="AC120" s="90"/>
      <c r="AD120" s="87"/>
      <c r="AE120" s="89" t="s">
        <v>16</v>
      </c>
      <c r="AF120" s="90"/>
      <c r="AG120" s="87"/>
      <c r="AH120" s="91" t="s">
        <v>16</v>
      </c>
      <c r="AI120" s="86" t="s">
        <v>16</v>
      </c>
      <c r="AJ120" s="90"/>
      <c r="AK120" s="87"/>
      <c r="AL120" s="89" t="s">
        <v>16</v>
      </c>
      <c r="AM120" s="87"/>
      <c r="AN120" s="89" t="s">
        <v>16</v>
      </c>
      <c r="AO120" s="87"/>
      <c r="AP120" s="89" t="s">
        <v>16</v>
      </c>
      <c r="AQ120" s="87"/>
      <c r="AR120" s="88" t="s">
        <v>16</v>
      </c>
      <c r="AS120" s="89" t="s">
        <v>16</v>
      </c>
      <c r="AT120" s="92"/>
      <c r="AU120" s="93" t="s">
        <v>16</v>
      </c>
      <c r="AV120" s="88" t="s">
        <v>16</v>
      </c>
      <c r="AW120" s="89" t="s">
        <v>16</v>
      </c>
      <c r="AX120" s="87"/>
      <c r="AY120" s="89" t="s">
        <v>16</v>
      </c>
      <c r="AZ120" s="90"/>
      <c r="BA120" s="87"/>
      <c r="BB120" s="89" t="s">
        <v>16</v>
      </c>
      <c r="BC120" s="87"/>
      <c r="BD120" s="91" t="s">
        <v>16</v>
      </c>
      <c r="BE120" s="86" t="s">
        <v>16</v>
      </c>
      <c r="BF120" s="90"/>
      <c r="BG120" s="90"/>
      <c r="BH120" s="87"/>
      <c r="BI120" s="88" t="s">
        <v>16</v>
      </c>
      <c r="BJ120" s="88" t="s">
        <v>16</v>
      </c>
      <c r="BK120" s="89" t="s">
        <v>16</v>
      </c>
      <c r="BL120" s="87"/>
      <c r="BM120" s="89" t="s">
        <v>16</v>
      </c>
      <c r="BN120" s="87"/>
      <c r="BO120" s="89" t="s">
        <v>16</v>
      </c>
      <c r="BP120" s="90"/>
      <c r="BQ120" s="90"/>
      <c r="BR120" s="92"/>
      <c r="BS120" s="94">
        <f t="shared" si="8"/>
        <v>0</v>
      </c>
      <c r="BT120" s="95"/>
      <c r="BU120" s="96"/>
      <c r="BV120" s="94">
        <f t="shared" si="9"/>
        <v>0</v>
      </c>
      <c r="BW120" s="95"/>
      <c r="BX120" s="95"/>
      <c r="BY120" s="96"/>
      <c r="BZ120" s="97"/>
      <c r="CA120" s="98"/>
      <c r="CB120" s="98"/>
      <c r="CC120" s="98"/>
      <c r="CD120" s="98"/>
      <c r="CE120" s="98"/>
      <c r="CF120" s="98"/>
      <c r="CG120" s="99"/>
    </row>
    <row r="121" spans="1:85">
      <c r="A121" s="80">
        <v>47</v>
      </c>
      <c r="B121" s="81"/>
      <c r="C121" s="81"/>
      <c r="D121" s="81"/>
      <c r="E121" s="81"/>
      <c r="F121" s="82"/>
      <c r="G121" s="83" t="str">
        <f>IFERROR(INDEX([1]INPUT_DATA_Learners!T:T,MATCH(#REF!,[1]INPUT_DATA_Learners!$A:$A,0)),"")</f>
        <v/>
      </c>
      <c r="H121" s="84"/>
      <c r="I121" s="84"/>
      <c r="J121" s="85"/>
      <c r="K121" s="86" t="s">
        <v>16</v>
      </c>
      <c r="L121" s="87"/>
      <c r="M121" s="88" t="s">
        <v>16</v>
      </c>
      <c r="N121" s="88" t="s">
        <v>16</v>
      </c>
      <c r="O121" s="89" t="s">
        <v>16</v>
      </c>
      <c r="P121" s="90"/>
      <c r="Q121" s="90"/>
      <c r="R121" s="87"/>
      <c r="S121" s="89" t="s">
        <v>16</v>
      </c>
      <c r="T121" s="90"/>
      <c r="U121" s="87"/>
      <c r="V121" s="91" t="s">
        <v>16</v>
      </c>
      <c r="W121" s="86" t="s">
        <v>16</v>
      </c>
      <c r="X121" s="90"/>
      <c r="Y121" s="87"/>
      <c r="Z121" s="88" t="s">
        <v>16</v>
      </c>
      <c r="AA121" s="88" t="s">
        <v>16</v>
      </c>
      <c r="AB121" s="89" t="s">
        <v>16</v>
      </c>
      <c r="AC121" s="90"/>
      <c r="AD121" s="87"/>
      <c r="AE121" s="89" t="s">
        <v>16</v>
      </c>
      <c r="AF121" s="90"/>
      <c r="AG121" s="87"/>
      <c r="AH121" s="91" t="s">
        <v>16</v>
      </c>
      <c r="AI121" s="86" t="s">
        <v>16</v>
      </c>
      <c r="AJ121" s="90"/>
      <c r="AK121" s="87"/>
      <c r="AL121" s="89" t="s">
        <v>16</v>
      </c>
      <c r="AM121" s="87"/>
      <c r="AN121" s="89" t="s">
        <v>16</v>
      </c>
      <c r="AO121" s="87"/>
      <c r="AP121" s="89" t="s">
        <v>16</v>
      </c>
      <c r="AQ121" s="87"/>
      <c r="AR121" s="88" t="s">
        <v>16</v>
      </c>
      <c r="AS121" s="89" t="s">
        <v>16</v>
      </c>
      <c r="AT121" s="92"/>
      <c r="AU121" s="93" t="s">
        <v>16</v>
      </c>
      <c r="AV121" s="88" t="s">
        <v>16</v>
      </c>
      <c r="AW121" s="89" t="s">
        <v>16</v>
      </c>
      <c r="AX121" s="87"/>
      <c r="AY121" s="89" t="s">
        <v>16</v>
      </c>
      <c r="AZ121" s="90"/>
      <c r="BA121" s="87"/>
      <c r="BB121" s="89" t="s">
        <v>16</v>
      </c>
      <c r="BC121" s="87"/>
      <c r="BD121" s="91" t="s">
        <v>16</v>
      </c>
      <c r="BE121" s="86" t="s">
        <v>16</v>
      </c>
      <c r="BF121" s="90"/>
      <c r="BG121" s="90"/>
      <c r="BH121" s="87"/>
      <c r="BI121" s="88" t="s">
        <v>16</v>
      </c>
      <c r="BJ121" s="88" t="s">
        <v>16</v>
      </c>
      <c r="BK121" s="89" t="s">
        <v>16</v>
      </c>
      <c r="BL121" s="87"/>
      <c r="BM121" s="89" t="s">
        <v>16</v>
      </c>
      <c r="BN121" s="87"/>
      <c r="BO121" s="89" t="s">
        <v>16</v>
      </c>
      <c r="BP121" s="90"/>
      <c r="BQ121" s="90"/>
      <c r="BR121" s="92"/>
      <c r="BS121" s="94">
        <f t="shared" si="8"/>
        <v>0</v>
      </c>
      <c r="BT121" s="95"/>
      <c r="BU121" s="96"/>
      <c r="BV121" s="94">
        <f t="shared" si="9"/>
        <v>0</v>
      </c>
      <c r="BW121" s="95"/>
      <c r="BX121" s="95"/>
      <c r="BY121" s="96"/>
      <c r="BZ121" s="97"/>
      <c r="CA121" s="98"/>
      <c r="CB121" s="98"/>
      <c r="CC121" s="98"/>
      <c r="CD121" s="98"/>
      <c r="CE121" s="98"/>
      <c r="CF121" s="98"/>
      <c r="CG121" s="99"/>
    </row>
    <row r="122" spans="1:85">
      <c r="A122" s="80">
        <v>48</v>
      </c>
      <c r="B122" s="81"/>
      <c r="C122" s="81"/>
      <c r="D122" s="81"/>
      <c r="E122" s="81"/>
      <c r="F122" s="82"/>
      <c r="G122" s="83" t="str">
        <f>IFERROR(INDEX([1]INPUT_DATA_Learners!T:T,MATCH(#REF!,[1]INPUT_DATA_Learners!$A:$A,0)),"")</f>
        <v/>
      </c>
      <c r="H122" s="84"/>
      <c r="I122" s="84"/>
      <c r="J122" s="85"/>
      <c r="K122" s="86" t="s">
        <v>16</v>
      </c>
      <c r="L122" s="87"/>
      <c r="M122" s="88" t="s">
        <v>16</v>
      </c>
      <c r="N122" s="88" t="s">
        <v>16</v>
      </c>
      <c r="O122" s="89" t="s">
        <v>16</v>
      </c>
      <c r="P122" s="90"/>
      <c r="Q122" s="90"/>
      <c r="R122" s="87"/>
      <c r="S122" s="89" t="s">
        <v>16</v>
      </c>
      <c r="T122" s="90"/>
      <c r="U122" s="87"/>
      <c r="V122" s="91" t="s">
        <v>16</v>
      </c>
      <c r="W122" s="86" t="s">
        <v>16</v>
      </c>
      <c r="X122" s="90"/>
      <c r="Y122" s="87"/>
      <c r="Z122" s="88" t="s">
        <v>16</v>
      </c>
      <c r="AA122" s="88" t="s">
        <v>16</v>
      </c>
      <c r="AB122" s="89" t="s">
        <v>16</v>
      </c>
      <c r="AC122" s="90"/>
      <c r="AD122" s="87"/>
      <c r="AE122" s="89" t="s">
        <v>16</v>
      </c>
      <c r="AF122" s="90"/>
      <c r="AG122" s="87"/>
      <c r="AH122" s="91" t="s">
        <v>16</v>
      </c>
      <c r="AI122" s="86" t="s">
        <v>16</v>
      </c>
      <c r="AJ122" s="90"/>
      <c r="AK122" s="87"/>
      <c r="AL122" s="89" t="s">
        <v>16</v>
      </c>
      <c r="AM122" s="87"/>
      <c r="AN122" s="89" t="s">
        <v>16</v>
      </c>
      <c r="AO122" s="87"/>
      <c r="AP122" s="89" t="s">
        <v>16</v>
      </c>
      <c r="AQ122" s="87"/>
      <c r="AR122" s="88" t="s">
        <v>16</v>
      </c>
      <c r="AS122" s="89" t="s">
        <v>16</v>
      </c>
      <c r="AT122" s="92"/>
      <c r="AU122" s="93" t="s">
        <v>16</v>
      </c>
      <c r="AV122" s="88" t="s">
        <v>16</v>
      </c>
      <c r="AW122" s="89" t="s">
        <v>16</v>
      </c>
      <c r="AX122" s="87"/>
      <c r="AY122" s="89" t="s">
        <v>16</v>
      </c>
      <c r="AZ122" s="90"/>
      <c r="BA122" s="87"/>
      <c r="BB122" s="89" t="s">
        <v>16</v>
      </c>
      <c r="BC122" s="87"/>
      <c r="BD122" s="91" t="s">
        <v>16</v>
      </c>
      <c r="BE122" s="86" t="s">
        <v>16</v>
      </c>
      <c r="BF122" s="90"/>
      <c r="BG122" s="90"/>
      <c r="BH122" s="87"/>
      <c r="BI122" s="88" t="s">
        <v>16</v>
      </c>
      <c r="BJ122" s="88" t="s">
        <v>16</v>
      </c>
      <c r="BK122" s="89" t="s">
        <v>16</v>
      </c>
      <c r="BL122" s="87"/>
      <c r="BM122" s="89" t="s">
        <v>16</v>
      </c>
      <c r="BN122" s="87"/>
      <c r="BO122" s="89" t="s">
        <v>16</v>
      </c>
      <c r="BP122" s="90"/>
      <c r="BQ122" s="90"/>
      <c r="BR122" s="92"/>
      <c r="BS122" s="94">
        <f t="shared" si="8"/>
        <v>0</v>
      </c>
      <c r="BT122" s="95"/>
      <c r="BU122" s="96"/>
      <c r="BV122" s="94">
        <f t="shared" si="9"/>
        <v>0</v>
      </c>
      <c r="BW122" s="95"/>
      <c r="BX122" s="95"/>
      <c r="BY122" s="96"/>
      <c r="BZ122" s="97"/>
      <c r="CA122" s="98"/>
      <c r="CB122" s="98"/>
      <c r="CC122" s="98"/>
      <c r="CD122" s="98"/>
      <c r="CE122" s="98"/>
      <c r="CF122" s="98"/>
      <c r="CG122" s="99"/>
    </row>
    <row r="123" spans="1:85">
      <c r="A123" s="80">
        <v>49</v>
      </c>
      <c r="B123" s="81"/>
      <c r="C123" s="81"/>
      <c r="D123" s="81"/>
      <c r="E123" s="81"/>
      <c r="F123" s="82"/>
      <c r="G123" s="83" t="str">
        <f>IFERROR(INDEX([1]INPUT_DATA_Learners!T:T,MATCH(#REF!,[1]INPUT_DATA_Learners!$A:$A,0)),"")</f>
        <v/>
      </c>
      <c r="H123" s="84"/>
      <c r="I123" s="84"/>
      <c r="J123" s="85"/>
      <c r="K123" s="86" t="s">
        <v>16</v>
      </c>
      <c r="L123" s="87"/>
      <c r="M123" s="88" t="s">
        <v>16</v>
      </c>
      <c r="N123" s="88" t="s">
        <v>16</v>
      </c>
      <c r="O123" s="89" t="s">
        <v>16</v>
      </c>
      <c r="P123" s="90"/>
      <c r="Q123" s="90"/>
      <c r="R123" s="87"/>
      <c r="S123" s="89" t="s">
        <v>16</v>
      </c>
      <c r="T123" s="90"/>
      <c r="U123" s="87"/>
      <c r="V123" s="91" t="s">
        <v>16</v>
      </c>
      <c r="W123" s="86" t="s">
        <v>16</v>
      </c>
      <c r="X123" s="90"/>
      <c r="Y123" s="87"/>
      <c r="Z123" s="88" t="s">
        <v>16</v>
      </c>
      <c r="AA123" s="88" t="s">
        <v>16</v>
      </c>
      <c r="AB123" s="89" t="s">
        <v>16</v>
      </c>
      <c r="AC123" s="90"/>
      <c r="AD123" s="87"/>
      <c r="AE123" s="89" t="s">
        <v>16</v>
      </c>
      <c r="AF123" s="90"/>
      <c r="AG123" s="87"/>
      <c r="AH123" s="91" t="s">
        <v>16</v>
      </c>
      <c r="AI123" s="86" t="s">
        <v>16</v>
      </c>
      <c r="AJ123" s="90"/>
      <c r="AK123" s="87"/>
      <c r="AL123" s="89" t="s">
        <v>16</v>
      </c>
      <c r="AM123" s="87"/>
      <c r="AN123" s="89" t="s">
        <v>16</v>
      </c>
      <c r="AO123" s="87"/>
      <c r="AP123" s="89" t="s">
        <v>16</v>
      </c>
      <c r="AQ123" s="87"/>
      <c r="AR123" s="88" t="s">
        <v>16</v>
      </c>
      <c r="AS123" s="89" t="s">
        <v>16</v>
      </c>
      <c r="AT123" s="92"/>
      <c r="AU123" s="93" t="s">
        <v>16</v>
      </c>
      <c r="AV123" s="88" t="s">
        <v>16</v>
      </c>
      <c r="AW123" s="89" t="s">
        <v>16</v>
      </c>
      <c r="AX123" s="87"/>
      <c r="AY123" s="89" t="s">
        <v>16</v>
      </c>
      <c r="AZ123" s="90"/>
      <c r="BA123" s="87"/>
      <c r="BB123" s="89" t="s">
        <v>16</v>
      </c>
      <c r="BC123" s="87"/>
      <c r="BD123" s="91" t="s">
        <v>16</v>
      </c>
      <c r="BE123" s="86" t="s">
        <v>16</v>
      </c>
      <c r="BF123" s="90"/>
      <c r="BG123" s="90"/>
      <c r="BH123" s="87"/>
      <c r="BI123" s="88" t="s">
        <v>16</v>
      </c>
      <c r="BJ123" s="88" t="s">
        <v>16</v>
      </c>
      <c r="BK123" s="89" t="s">
        <v>16</v>
      </c>
      <c r="BL123" s="87"/>
      <c r="BM123" s="89" t="s">
        <v>16</v>
      </c>
      <c r="BN123" s="87"/>
      <c r="BO123" s="89" t="s">
        <v>16</v>
      </c>
      <c r="BP123" s="90"/>
      <c r="BQ123" s="90"/>
      <c r="BR123" s="92"/>
      <c r="BS123" s="94">
        <f t="shared" si="8"/>
        <v>0</v>
      </c>
      <c r="BT123" s="95"/>
      <c r="BU123" s="96"/>
      <c r="BV123" s="94">
        <f t="shared" si="9"/>
        <v>0</v>
      </c>
      <c r="BW123" s="95"/>
      <c r="BX123" s="95"/>
      <c r="BY123" s="96"/>
      <c r="BZ123" s="97"/>
      <c r="CA123" s="98"/>
      <c r="CB123" s="98"/>
      <c r="CC123" s="98"/>
      <c r="CD123" s="98"/>
      <c r="CE123" s="98"/>
      <c r="CF123" s="98"/>
      <c r="CG123" s="99"/>
    </row>
    <row r="124" spans="1:85">
      <c r="A124" s="80">
        <v>50</v>
      </c>
      <c r="B124" s="81"/>
      <c r="C124" s="81"/>
      <c r="D124" s="81"/>
      <c r="E124" s="81"/>
      <c r="F124" s="82"/>
      <c r="G124" s="83" t="str">
        <f>IFERROR(INDEX([1]INPUT_DATA_Learners!T:T,MATCH(#REF!,[1]INPUT_DATA_Learners!$A:$A,0)),"")</f>
        <v/>
      </c>
      <c r="H124" s="84"/>
      <c r="I124" s="84"/>
      <c r="J124" s="85"/>
      <c r="K124" s="86" t="s">
        <v>16</v>
      </c>
      <c r="L124" s="87"/>
      <c r="M124" s="88" t="s">
        <v>16</v>
      </c>
      <c r="N124" s="88" t="s">
        <v>16</v>
      </c>
      <c r="O124" s="89" t="s">
        <v>16</v>
      </c>
      <c r="P124" s="90"/>
      <c r="Q124" s="90"/>
      <c r="R124" s="87"/>
      <c r="S124" s="89" t="s">
        <v>16</v>
      </c>
      <c r="T124" s="90"/>
      <c r="U124" s="87"/>
      <c r="V124" s="91" t="s">
        <v>16</v>
      </c>
      <c r="W124" s="86" t="s">
        <v>16</v>
      </c>
      <c r="X124" s="90"/>
      <c r="Y124" s="87"/>
      <c r="Z124" s="88" t="s">
        <v>16</v>
      </c>
      <c r="AA124" s="88" t="s">
        <v>16</v>
      </c>
      <c r="AB124" s="89" t="s">
        <v>16</v>
      </c>
      <c r="AC124" s="90"/>
      <c r="AD124" s="87"/>
      <c r="AE124" s="89" t="s">
        <v>16</v>
      </c>
      <c r="AF124" s="90"/>
      <c r="AG124" s="87"/>
      <c r="AH124" s="91" t="s">
        <v>16</v>
      </c>
      <c r="AI124" s="86" t="s">
        <v>16</v>
      </c>
      <c r="AJ124" s="90"/>
      <c r="AK124" s="87"/>
      <c r="AL124" s="89" t="s">
        <v>16</v>
      </c>
      <c r="AM124" s="87"/>
      <c r="AN124" s="89" t="s">
        <v>16</v>
      </c>
      <c r="AO124" s="87"/>
      <c r="AP124" s="89" t="s">
        <v>16</v>
      </c>
      <c r="AQ124" s="87"/>
      <c r="AR124" s="88" t="s">
        <v>16</v>
      </c>
      <c r="AS124" s="89" t="s">
        <v>16</v>
      </c>
      <c r="AT124" s="92"/>
      <c r="AU124" s="93" t="s">
        <v>16</v>
      </c>
      <c r="AV124" s="88" t="s">
        <v>16</v>
      </c>
      <c r="AW124" s="89" t="s">
        <v>16</v>
      </c>
      <c r="AX124" s="87"/>
      <c r="AY124" s="89" t="s">
        <v>16</v>
      </c>
      <c r="AZ124" s="90"/>
      <c r="BA124" s="87"/>
      <c r="BB124" s="89" t="s">
        <v>16</v>
      </c>
      <c r="BC124" s="87"/>
      <c r="BD124" s="91" t="s">
        <v>16</v>
      </c>
      <c r="BE124" s="86" t="s">
        <v>16</v>
      </c>
      <c r="BF124" s="90"/>
      <c r="BG124" s="90"/>
      <c r="BH124" s="87"/>
      <c r="BI124" s="88" t="s">
        <v>16</v>
      </c>
      <c r="BJ124" s="88" t="s">
        <v>16</v>
      </c>
      <c r="BK124" s="89" t="s">
        <v>16</v>
      </c>
      <c r="BL124" s="87"/>
      <c r="BM124" s="89" t="s">
        <v>16</v>
      </c>
      <c r="BN124" s="87"/>
      <c r="BO124" s="89" t="s">
        <v>16</v>
      </c>
      <c r="BP124" s="90"/>
      <c r="BQ124" s="90"/>
      <c r="BR124" s="92"/>
      <c r="BS124" s="94">
        <f t="shared" si="8"/>
        <v>0</v>
      </c>
      <c r="BT124" s="95"/>
      <c r="BU124" s="96"/>
      <c r="BV124" s="94">
        <f t="shared" si="9"/>
        <v>0</v>
      </c>
      <c r="BW124" s="95"/>
      <c r="BX124" s="95"/>
      <c r="BY124" s="96"/>
      <c r="BZ124" s="97"/>
      <c r="CA124" s="98"/>
      <c r="CB124" s="98"/>
      <c r="CC124" s="98"/>
      <c r="CD124" s="98"/>
      <c r="CE124" s="98"/>
      <c r="CF124" s="98"/>
      <c r="CG124" s="99"/>
    </row>
    <row r="125" spans="1:85">
      <c r="A125" s="80">
        <v>51</v>
      </c>
      <c r="B125" s="81"/>
      <c r="C125" s="81"/>
      <c r="D125" s="81"/>
      <c r="E125" s="81"/>
      <c r="F125" s="82"/>
      <c r="G125" s="83" t="str">
        <f>IFERROR(INDEX([1]INPUT_DATA_Learners!T:T,MATCH(#REF!,[1]INPUT_DATA_Learners!$A:$A,0)),"")</f>
        <v/>
      </c>
      <c r="H125" s="84"/>
      <c r="I125" s="84"/>
      <c r="J125" s="85"/>
      <c r="K125" s="86" t="s">
        <v>16</v>
      </c>
      <c r="L125" s="87"/>
      <c r="M125" s="88" t="s">
        <v>16</v>
      </c>
      <c r="N125" s="88" t="s">
        <v>16</v>
      </c>
      <c r="O125" s="89" t="s">
        <v>16</v>
      </c>
      <c r="P125" s="90"/>
      <c r="Q125" s="90"/>
      <c r="R125" s="87"/>
      <c r="S125" s="89" t="s">
        <v>16</v>
      </c>
      <c r="T125" s="90"/>
      <c r="U125" s="87"/>
      <c r="V125" s="91" t="s">
        <v>16</v>
      </c>
      <c r="W125" s="86" t="s">
        <v>16</v>
      </c>
      <c r="X125" s="90"/>
      <c r="Y125" s="87"/>
      <c r="Z125" s="88" t="s">
        <v>16</v>
      </c>
      <c r="AA125" s="88" t="s">
        <v>16</v>
      </c>
      <c r="AB125" s="89" t="s">
        <v>16</v>
      </c>
      <c r="AC125" s="90"/>
      <c r="AD125" s="87"/>
      <c r="AE125" s="89" t="s">
        <v>16</v>
      </c>
      <c r="AF125" s="90"/>
      <c r="AG125" s="87"/>
      <c r="AH125" s="91" t="s">
        <v>16</v>
      </c>
      <c r="AI125" s="86" t="s">
        <v>16</v>
      </c>
      <c r="AJ125" s="90"/>
      <c r="AK125" s="87"/>
      <c r="AL125" s="89" t="s">
        <v>16</v>
      </c>
      <c r="AM125" s="87"/>
      <c r="AN125" s="89" t="s">
        <v>16</v>
      </c>
      <c r="AO125" s="87"/>
      <c r="AP125" s="89" t="s">
        <v>16</v>
      </c>
      <c r="AQ125" s="87"/>
      <c r="AR125" s="88" t="s">
        <v>16</v>
      </c>
      <c r="AS125" s="89" t="s">
        <v>16</v>
      </c>
      <c r="AT125" s="92"/>
      <c r="AU125" s="93" t="s">
        <v>16</v>
      </c>
      <c r="AV125" s="88" t="s">
        <v>16</v>
      </c>
      <c r="AW125" s="89" t="s">
        <v>16</v>
      </c>
      <c r="AX125" s="87"/>
      <c r="AY125" s="89" t="s">
        <v>16</v>
      </c>
      <c r="AZ125" s="90"/>
      <c r="BA125" s="87"/>
      <c r="BB125" s="89" t="s">
        <v>16</v>
      </c>
      <c r="BC125" s="87"/>
      <c r="BD125" s="91" t="s">
        <v>16</v>
      </c>
      <c r="BE125" s="86" t="s">
        <v>16</v>
      </c>
      <c r="BF125" s="90"/>
      <c r="BG125" s="90"/>
      <c r="BH125" s="87"/>
      <c r="BI125" s="88" t="s">
        <v>16</v>
      </c>
      <c r="BJ125" s="88" t="s">
        <v>16</v>
      </c>
      <c r="BK125" s="89" t="s">
        <v>16</v>
      </c>
      <c r="BL125" s="87"/>
      <c r="BM125" s="89" t="s">
        <v>16</v>
      </c>
      <c r="BN125" s="87"/>
      <c r="BO125" s="89" t="s">
        <v>16</v>
      </c>
      <c r="BP125" s="90"/>
      <c r="BQ125" s="90"/>
      <c r="BR125" s="92"/>
      <c r="BS125" s="94">
        <f t="shared" si="8"/>
        <v>0</v>
      </c>
      <c r="BT125" s="95"/>
      <c r="BU125" s="96"/>
      <c r="BV125" s="94">
        <f t="shared" si="9"/>
        <v>0</v>
      </c>
      <c r="BW125" s="95"/>
      <c r="BX125" s="95"/>
      <c r="BY125" s="96"/>
      <c r="BZ125" s="97"/>
      <c r="CA125" s="98"/>
      <c r="CB125" s="98"/>
      <c r="CC125" s="98"/>
      <c r="CD125" s="98"/>
      <c r="CE125" s="98"/>
      <c r="CF125" s="98"/>
      <c r="CG125" s="99"/>
    </row>
    <row r="126" spans="1:85">
      <c r="A126" s="80">
        <v>52</v>
      </c>
      <c r="B126" s="81"/>
      <c r="C126" s="81"/>
      <c r="D126" s="81"/>
      <c r="E126" s="81"/>
      <c r="F126" s="82"/>
      <c r="G126" s="83" t="str">
        <f>IFERROR(INDEX([1]INPUT_DATA_Learners!T:T,MATCH(#REF!,[1]INPUT_DATA_Learners!$A:$A,0)),"")</f>
        <v/>
      </c>
      <c r="H126" s="84"/>
      <c r="I126" s="84"/>
      <c r="J126" s="85"/>
      <c r="K126" s="86" t="s">
        <v>16</v>
      </c>
      <c r="L126" s="87"/>
      <c r="M126" s="88" t="s">
        <v>16</v>
      </c>
      <c r="N126" s="88" t="s">
        <v>16</v>
      </c>
      <c r="O126" s="89" t="s">
        <v>16</v>
      </c>
      <c r="P126" s="90"/>
      <c r="Q126" s="90"/>
      <c r="R126" s="87"/>
      <c r="S126" s="89" t="s">
        <v>16</v>
      </c>
      <c r="T126" s="90"/>
      <c r="U126" s="87"/>
      <c r="V126" s="91" t="s">
        <v>16</v>
      </c>
      <c r="W126" s="86" t="s">
        <v>16</v>
      </c>
      <c r="X126" s="90"/>
      <c r="Y126" s="87"/>
      <c r="Z126" s="88" t="s">
        <v>16</v>
      </c>
      <c r="AA126" s="88" t="s">
        <v>16</v>
      </c>
      <c r="AB126" s="89" t="s">
        <v>16</v>
      </c>
      <c r="AC126" s="90"/>
      <c r="AD126" s="87"/>
      <c r="AE126" s="89" t="s">
        <v>16</v>
      </c>
      <c r="AF126" s="90"/>
      <c r="AG126" s="87"/>
      <c r="AH126" s="91" t="s">
        <v>16</v>
      </c>
      <c r="AI126" s="86" t="s">
        <v>16</v>
      </c>
      <c r="AJ126" s="90"/>
      <c r="AK126" s="87"/>
      <c r="AL126" s="89" t="s">
        <v>16</v>
      </c>
      <c r="AM126" s="87"/>
      <c r="AN126" s="89" t="s">
        <v>16</v>
      </c>
      <c r="AO126" s="87"/>
      <c r="AP126" s="89" t="s">
        <v>16</v>
      </c>
      <c r="AQ126" s="87"/>
      <c r="AR126" s="88" t="s">
        <v>16</v>
      </c>
      <c r="AS126" s="89" t="s">
        <v>16</v>
      </c>
      <c r="AT126" s="92"/>
      <c r="AU126" s="93" t="s">
        <v>16</v>
      </c>
      <c r="AV126" s="88" t="s">
        <v>16</v>
      </c>
      <c r="AW126" s="89" t="s">
        <v>16</v>
      </c>
      <c r="AX126" s="87"/>
      <c r="AY126" s="89" t="s">
        <v>16</v>
      </c>
      <c r="AZ126" s="90"/>
      <c r="BA126" s="87"/>
      <c r="BB126" s="89" t="s">
        <v>16</v>
      </c>
      <c r="BC126" s="87"/>
      <c r="BD126" s="91" t="s">
        <v>16</v>
      </c>
      <c r="BE126" s="86" t="s">
        <v>16</v>
      </c>
      <c r="BF126" s="90"/>
      <c r="BG126" s="90"/>
      <c r="BH126" s="87"/>
      <c r="BI126" s="88" t="s">
        <v>16</v>
      </c>
      <c r="BJ126" s="88" t="s">
        <v>16</v>
      </c>
      <c r="BK126" s="89" t="s">
        <v>16</v>
      </c>
      <c r="BL126" s="87"/>
      <c r="BM126" s="89" t="s">
        <v>16</v>
      </c>
      <c r="BN126" s="87"/>
      <c r="BO126" s="89" t="s">
        <v>16</v>
      </c>
      <c r="BP126" s="90"/>
      <c r="BQ126" s="90"/>
      <c r="BR126" s="92"/>
      <c r="BS126" s="94">
        <f t="shared" si="8"/>
        <v>0</v>
      </c>
      <c r="BT126" s="95"/>
      <c r="BU126" s="96"/>
      <c r="BV126" s="94">
        <f t="shared" si="9"/>
        <v>0</v>
      </c>
      <c r="BW126" s="95"/>
      <c r="BX126" s="95"/>
      <c r="BY126" s="96"/>
      <c r="BZ126" s="97"/>
      <c r="CA126" s="98"/>
      <c r="CB126" s="98"/>
      <c r="CC126" s="98"/>
      <c r="CD126" s="98"/>
      <c r="CE126" s="98"/>
      <c r="CF126" s="98"/>
      <c r="CG126" s="99"/>
    </row>
    <row r="127" spans="1:85">
      <c r="A127" s="80">
        <v>53</v>
      </c>
      <c r="B127" s="81"/>
      <c r="C127" s="81"/>
      <c r="D127" s="81"/>
      <c r="E127" s="81"/>
      <c r="F127" s="82"/>
      <c r="G127" s="83" t="str">
        <f>IFERROR(INDEX([1]INPUT_DATA_Learners!T:T,MATCH(#REF!,[1]INPUT_DATA_Learners!$A:$A,0)),"")</f>
        <v/>
      </c>
      <c r="H127" s="84"/>
      <c r="I127" s="84"/>
      <c r="J127" s="85"/>
      <c r="K127" s="86" t="s">
        <v>16</v>
      </c>
      <c r="L127" s="87"/>
      <c r="M127" s="88" t="s">
        <v>16</v>
      </c>
      <c r="N127" s="88" t="s">
        <v>16</v>
      </c>
      <c r="O127" s="89" t="s">
        <v>16</v>
      </c>
      <c r="P127" s="90"/>
      <c r="Q127" s="90"/>
      <c r="R127" s="87"/>
      <c r="S127" s="89" t="s">
        <v>16</v>
      </c>
      <c r="T127" s="90"/>
      <c r="U127" s="87"/>
      <c r="V127" s="91" t="s">
        <v>16</v>
      </c>
      <c r="W127" s="86" t="s">
        <v>16</v>
      </c>
      <c r="X127" s="90"/>
      <c r="Y127" s="87"/>
      <c r="Z127" s="88" t="s">
        <v>16</v>
      </c>
      <c r="AA127" s="88" t="s">
        <v>16</v>
      </c>
      <c r="AB127" s="89" t="s">
        <v>16</v>
      </c>
      <c r="AC127" s="90"/>
      <c r="AD127" s="87"/>
      <c r="AE127" s="89" t="s">
        <v>16</v>
      </c>
      <c r="AF127" s="90"/>
      <c r="AG127" s="87"/>
      <c r="AH127" s="91" t="s">
        <v>16</v>
      </c>
      <c r="AI127" s="86" t="s">
        <v>16</v>
      </c>
      <c r="AJ127" s="90"/>
      <c r="AK127" s="87"/>
      <c r="AL127" s="89" t="s">
        <v>16</v>
      </c>
      <c r="AM127" s="87"/>
      <c r="AN127" s="89" t="s">
        <v>16</v>
      </c>
      <c r="AO127" s="87"/>
      <c r="AP127" s="89" t="s">
        <v>16</v>
      </c>
      <c r="AQ127" s="87"/>
      <c r="AR127" s="88" t="s">
        <v>16</v>
      </c>
      <c r="AS127" s="89" t="s">
        <v>16</v>
      </c>
      <c r="AT127" s="92"/>
      <c r="AU127" s="93" t="s">
        <v>16</v>
      </c>
      <c r="AV127" s="88" t="s">
        <v>16</v>
      </c>
      <c r="AW127" s="89" t="s">
        <v>16</v>
      </c>
      <c r="AX127" s="87"/>
      <c r="AY127" s="89" t="s">
        <v>16</v>
      </c>
      <c r="AZ127" s="90"/>
      <c r="BA127" s="87"/>
      <c r="BB127" s="89" t="s">
        <v>16</v>
      </c>
      <c r="BC127" s="87"/>
      <c r="BD127" s="91" t="s">
        <v>16</v>
      </c>
      <c r="BE127" s="86" t="s">
        <v>16</v>
      </c>
      <c r="BF127" s="90"/>
      <c r="BG127" s="90"/>
      <c r="BH127" s="87"/>
      <c r="BI127" s="88" t="s">
        <v>16</v>
      </c>
      <c r="BJ127" s="88" t="s">
        <v>16</v>
      </c>
      <c r="BK127" s="89" t="s">
        <v>16</v>
      </c>
      <c r="BL127" s="87"/>
      <c r="BM127" s="89" t="s">
        <v>16</v>
      </c>
      <c r="BN127" s="87"/>
      <c r="BO127" s="89" t="s">
        <v>16</v>
      </c>
      <c r="BP127" s="90"/>
      <c r="BQ127" s="90"/>
      <c r="BR127" s="92"/>
      <c r="BS127" s="94">
        <f t="shared" si="8"/>
        <v>0</v>
      </c>
      <c r="BT127" s="95"/>
      <c r="BU127" s="96"/>
      <c r="BV127" s="94">
        <f t="shared" si="9"/>
        <v>0</v>
      </c>
      <c r="BW127" s="95"/>
      <c r="BX127" s="95"/>
      <c r="BY127" s="96"/>
      <c r="BZ127" s="97"/>
      <c r="CA127" s="98"/>
      <c r="CB127" s="98"/>
      <c r="CC127" s="98"/>
      <c r="CD127" s="98"/>
      <c r="CE127" s="98"/>
      <c r="CF127" s="98"/>
      <c r="CG127" s="99"/>
    </row>
    <row r="128" spans="1:85">
      <c r="A128" s="80">
        <v>54</v>
      </c>
      <c r="B128" s="81"/>
      <c r="C128" s="81"/>
      <c r="D128" s="81"/>
      <c r="E128" s="81"/>
      <c r="F128" s="82"/>
      <c r="G128" s="83" t="str">
        <f>IFERROR(INDEX([1]INPUT_DATA_Learners!T:T,MATCH(#REF!,[1]INPUT_DATA_Learners!$A:$A,0)),"")</f>
        <v/>
      </c>
      <c r="H128" s="84"/>
      <c r="I128" s="84"/>
      <c r="J128" s="85"/>
      <c r="K128" s="86" t="s">
        <v>16</v>
      </c>
      <c r="L128" s="87"/>
      <c r="M128" s="88" t="s">
        <v>16</v>
      </c>
      <c r="N128" s="88" t="s">
        <v>16</v>
      </c>
      <c r="O128" s="89" t="s">
        <v>16</v>
      </c>
      <c r="P128" s="90"/>
      <c r="Q128" s="90"/>
      <c r="R128" s="87"/>
      <c r="S128" s="89" t="s">
        <v>16</v>
      </c>
      <c r="T128" s="90"/>
      <c r="U128" s="87"/>
      <c r="V128" s="91" t="s">
        <v>16</v>
      </c>
      <c r="W128" s="86" t="s">
        <v>16</v>
      </c>
      <c r="X128" s="90"/>
      <c r="Y128" s="87"/>
      <c r="Z128" s="88" t="s">
        <v>16</v>
      </c>
      <c r="AA128" s="88" t="s">
        <v>16</v>
      </c>
      <c r="AB128" s="89" t="s">
        <v>16</v>
      </c>
      <c r="AC128" s="90"/>
      <c r="AD128" s="87"/>
      <c r="AE128" s="89" t="s">
        <v>16</v>
      </c>
      <c r="AF128" s="90"/>
      <c r="AG128" s="87"/>
      <c r="AH128" s="91" t="s">
        <v>16</v>
      </c>
      <c r="AI128" s="86" t="s">
        <v>16</v>
      </c>
      <c r="AJ128" s="90"/>
      <c r="AK128" s="87"/>
      <c r="AL128" s="89" t="s">
        <v>16</v>
      </c>
      <c r="AM128" s="87"/>
      <c r="AN128" s="89" t="s">
        <v>16</v>
      </c>
      <c r="AO128" s="87"/>
      <c r="AP128" s="89" t="s">
        <v>16</v>
      </c>
      <c r="AQ128" s="87"/>
      <c r="AR128" s="88" t="s">
        <v>16</v>
      </c>
      <c r="AS128" s="89" t="s">
        <v>16</v>
      </c>
      <c r="AT128" s="92"/>
      <c r="AU128" s="93" t="s">
        <v>16</v>
      </c>
      <c r="AV128" s="88" t="s">
        <v>16</v>
      </c>
      <c r="AW128" s="89" t="s">
        <v>16</v>
      </c>
      <c r="AX128" s="87"/>
      <c r="AY128" s="89" t="s">
        <v>16</v>
      </c>
      <c r="AZ128" s="90"/>
      <c r="BA128" s="87"/>
      <c r="BB128" s="89" t="s">
        <v>16</v>
      </c>
      <c r="BC128" s="87"/>
      <c r="BD128" s="91" t="s">
        <v>16</v>
      </c>
      <c r="BE128" s="86" t="s">
        <v>16</v>
      </c>
      <c r="BF128" s="90"/>
      <c r="BG128" s="90"/>
      <c r="BH128" s="87"/>
      <c r="BI128" s="88" t="s">
        <v>16</v>
      </c>
      <c r="BJ128" s="88" t="s">
        <v>16</v>
      </c>
      <c r="BK128" s="89" t="s">
        <v>16</v>
      </c>
      <c r="BL128" s="87"/>
      <c r="BM128" s="89" t="s">
        <v>16</v>
      </c>
      <c r="BN128" s="87"/>
      <c r="BO128" s="89" t="s">
        <v>16</v>
      </c>
      <c r="BP128" s="90"/>
      <c r="BQ128" s="90"/>
      <c r="BR128" s="92"/>
      <c r="BS128" s="94">
        <f t="shared" si="8"/>
        <v>0</v>
      </c>
      <c r="BT128" s="95"/>
      <c r="BU128" s="96"/>
      <c r="BV128" s="94">
        <f t="shared" si="9"/>
        <v>0</v>
      </c>
      <c r="BW128" s="95"/>
      <c r="BX128" s="95"/>
      <c r="BY128" s="96"/>
      <c r="BZ128" s="97"/>
      <c r="CA128" s="98"/>
      <c r="CB128" s="98"/>
      <c r="CC128" s="98"/>
      <c r="CD128" s="98"/>
      <c r="CE128" s="98"/>
      <c r="CF128" s="98"/>
      <c r="CG128" s="99"/>
    </row>
    <row r="129" spans="1:85" ht="15.75" thickBot="1">
      <c r="A129" s="80">
        <v>55</v>
      </c>
      <c r="B129" s="81"/>
      <c r="C129" s="81"/>
      <c r="D129" s="81"/>
      <c r="E129" s="81"/>
      <c r="F129" s="82"/>
      <c r="G129" s="83" t="str">
        <f>IFERROR(INDEX([1]INPUT_DATA_Learners!T:T,MATCH(#REF!,[1]INPUT_DATA_Learners!$A:$A,0)),"")</f>
        <v/>
      </c>
      <c r="H129" s="84"/>
      <c r="I129" s="84"/>
      <c r="J129" s="85"/>
      <c r="K129" s="86" t="s">
        <v>16</v>
      </c>
      <c r="L129" s="87"/>
      <c r="M129" s="88" t="s">
        <v>16</v>
      </c>
      <c r="N129" s="88" t="s">
        <v>16</v>
      </c>
      <c r="O129" s="89" t="s">
        <v>16</v>
      </c>
      <c r="P129" s="90"/>
      <c r="Q129" s="90"/>
      <c r="R129" s="87"/>
      <c r="S129" s="89" t="s">
        <v>16</v>
      </c>
      <c r="T129" s="90"/>
      <c r="U129" s="87"/>
      <c r="V129" s="91" t="s">
        <v>16</v>
      </c>
      <c r="W129" s="86" t="s">
        <v>16</v>
      </c>
      <c r="X129" s="90"/>
      <c r="Y129" s="87"/>
      <c r="Z129" s="88" t="s">
        <v>16</v>
      </c>
      <c r="AA129" s="88" t="s">
        <v>16</v>
      </c>
      <c r="AB129" s="89" t="s">
        <v>16</v>
      </c>
      <c r="AC129" s="90"/>
      <c r="AD129" s="87"/>
      <c r="AE129" s="89" t="s">
        <v>16</v>
      </c>
      <c r="AF129" s="90"/>
      <c r="AG129" s="87"/>
      <c r="AH129" s="91" t="s">
        <v>16</v>
      </c>
      <c r="AI129" s="86" t="s">
        <v>16</v>
      </c>
      <c r="AJ129" s="90"/>
      <c r="AK129" s="87"/>
      <c r="AL129" s="89" t="s">
        <v>16</v>
      </c>
      <c r="AM129" s="87"/>
      <c r="AN129" s="89" t="s">
        <v>16</v>
      </c>
      <c r="AO129" s="87"/>
      <c r="AP129" s="89" t="s">
        <v>16</v>
      </c>
      <c r="AQ129" s="87"/>
      <c r="AR129" s="88" t="s">
        <v>16</v>
      </c>
      <c r="AS129" s="89" t="s">
        <v>16</v>
      </c>
      <c r="AT129" s="92"/>
      <c r="AU129" s="93" t="s">
        <v>16</v>
      </c>
      <c r="AV129" s="88" t="s">
        <v>16</v>
      </c>
      <c r="AW129" s="89" t="s">
        <v>16</v>
      </c>
      <c r="AX129" s="87"/>
      <c r="AY129" s="89" t="s">
        <v>16</v>
      </c>
      <c r="AZ129" s="90"/>
      <c r="BA129" s="87"/>
      <c r="BB129" s="89" t="s">
        <v>16</v>
      </c>
      <c r="BC129" s="87"/>
      <c r="BD129" s="91" t="s">
        <v>16</v>
      </c>
      <c r="BE129" s="86" t="s">
        <v>16</v>
      </c>
      <c r="BF129" s="90"/>
      <c r="BG129" s="90"/>
      <c r="BH129" s="87"/>
      <c r="BI129" s="88" t="s">
        <v>16</v>
      </c>
      <c r="BJ129" s="88" t="s">
        <v>16</v>
      </c>
      <c r="BK129" s="89" t="s">
        <v>16</v>
      </c>
      <c r="BL129" s="87"/>
      <c r="BM129" s="89" t="s">
        <v>16</v>
      </c>
      <c r="BN129" s="87"/>
      <c r="BO129" s="89" t="s">
        <v>16</v>
      </c>
      <c r="BP129" s="90"/>
      <c r="BQ129" s="90"/>
      <c r="BR129" s="92"/>
      <c r="BS129" s="94">
        <f t="shared" si="8"/>
        <v>0</v>
      </c>
      <c r="BT129" s="95"/>
      <c r="BU129" s="96"/>
      <c r="BV129" s="94">
        <f t="shared" si="9"/>
        <v>0</v>
      </c>
      <c r="BW129" s="95"/>
      <c r="BX129" s="95"/>
      <c r="BY129" s="96"/>
      <c r="BZ129" s="97"/>
      <c r="CA129" s="98"/>
      <c r="CB129" s="98"/>
      <c r="CC129" s="98"/>
      <c r="CD129" s="98"/>
      <c r="CE129" s="98"/>
      <c r="CF129" s="98"/>
      <c r="CG129" s="99"/>
    </row>
    <row r="130" spans="1:85" ht="16.5" thickTop="1" thickBot="1">
      <c r="A130" s="100" t="s">
        <v>16</v>
      </c>
      <c r="B130" s="101"/>
      <c r="C130" s="101"/>
      <c r="D130" s="101"/>
      <c r="E130" s="101"/>
      <c r="F130" s="102"/>
      <c r="G130" s="103" t="s">
        <v>33</v>
      </c>
      <c r="H130" s="104"/>
      <c r="I130" s="104"/>
      <c r="J130" s="105"/>
      <c r="K130" s="106" t="str">
        <f>IF($L$17&lt;&gt;"", COUNTIF($G$75:$J$129, "*")-COUNTIF($L$75:$L$129, "X"), "")</f>
        <v/>
      </c>
      <c r="L130" s="107"/>
      <c r="M130" s="108">
        <f>IF($N$17&lt;&gt;"", COUNTIF($G$75:$J$129, "*")-COUNTIF($N$75:$N$129, "X"), "")</f>
        <v>55</v>
      </c>
      <c r="N130" s="108">
        <f>IF($O$17&lt;&gt;"", COUNTIF($G$75:$J$129, "*")-COUNTIF($O$75:$O$129, "X"), "")</f>
        <v>55</v>
      </c>
      <c r="O130" s="109" t="str">
        <f>IF($P$17&lt;&gt;"", COUNTIF($G$75:$J$129, "*")-COUNTIF($P$75:$P$129, "X"), "")</f>
        <v/>
      </c>
      <c r="P130" s="110"/>
      <c r="Q130" s="110"/>
      <c r="R130" s="107"/>
      <c r="S130" s="109" t="str">
        <f>IF($T$17&lt;&gt;"", COUNTIF($G$75:$J$129, "*")-COUNTIF($T$75:$T$129, "X"), "")</f>
        <v/>
      </c>
      <c r="T130" s="110"/>
      <c r="U130" s="107"/>
      <c r="V130" s="111">
        <f>IF($W$17&lt;&gt;"", COUNTIF($G$75:$J$129, "*")-COUNTIF($W$75:$W$129, "X"), "")</f>
        <v>55</v>
      </c>
      <c r="W130" s="109" t="str">
        <f>IF($X$17&lt;&gt;"", COUNTIF($G$75:$J$129, "*")-COUNTIF($X$75:$X$129, "X"), "")</f>
        <v/>
      </c>
      <c r="X130" s="110"/>
      <c r="Y130" s="107"/>
      <c r="Z130" s="108">
        <f>IF($AA$17&lt;&gt;"", COUNTIF($G$75:$J$129, "*")-COUNTIF($AA$75:$AA$129, "X"), "")</f>
        <v>55</v>
      </c>
      <c r="AA130" s="108">
        <f>IF($AB$17&lt;&gt;"", COUNTIF($G$75:$J$129, "*")-COUNTIF($AB$75:$AB$129, "X"), "")</f>
        <v>55</v>
      </c>
      <c r="AB130" s="109" t="str">
        <f>IF($AC$17&lt;&gt;"", COUNTIF($G$75:$J$129, "*")-COUNTIF($AC$75:$AC$129, "X"), "")</f>
        <v/>
      </c>
      <c r="AC130" s="110"/>
      <c r="AD130" s="107"/>
      <c r="AE130" s="109" t="str">
        <f>IF($AF$17&lt;&gt;"", COUNTIF($G$75:$J$129, "*")-COUNTIF($AF$75:$AF$129, "X"), "")</f>
        <v/>
      </c>
      <c r="AF130" s="110"/>
      <c r="AG130" s="107"/>
      <c r="AH130" s="111">
        <f>IF($AI$17&lt;&gt;"", COUNTIF($G$75:$J$129, "*")-COUNTIF($AI$75:$AI$129, "X"), "")</f>
        <v>55</v>
      </c>
      <c r="AI130" s="109" t="str">
        <f>IF($AJ$17&lt;&gt;"", COUNTIF($G$75:$J$129, "*")-COUNTIF($AJ$75:$AJ$129, "X"), "")</f>
        <v/>
      </c>
      <c r="AJ130" s="110"/>
      <c r="AK130" s="107"/>
      <c r="AL130" s="109" t="str">
        <f>IF($AM$17&lt;&gt;"", COUNTIF($G$75:$J$129, "*")-COUNTIF($AM$75:$AM$129, "X"), "")</f>
        <v/>
      </c>
      <c r="AM130" s="107"/>
      <c r="AN130" s="109" t="str">
        <f>IF($AO$17&lt;&gt;"", COUNTIF($G$75:$J$129, "*")-COUNTIF($AO$75:$AO$129, "X"), "")</f>
        <v/>
      </c>
      <c r="AO130" s="107"/>
      <c r="AP130" s="109" t="str">
        <f>IF($AQ$17&lt;&gt;"", COUNTIF($G$75:$J$129, "*")-COUNTIF($AQ$75:$AQ$129, "X"), "")</f>
        <v/>
      </c>
      <c r="AQ130" s="107"/>
      <c r="AR130" s="108">
        <f>IF($AS$17&lt;&gt;"", COUNTIF($G$75:$J$129, "*")-COUNTIF($AS$75:$AS$129, "X"), "")</f>
        <v>55</v>
      </c>
      <c r="AS130" s="109" t="str">
        <f>IF($AT$17&lt;&gt;"", COUNTIF($G$75:$J$129, "*")-COUNTIF($AT$75:$AT$129, "X"), "")</f>
        <v/>
      </c>
      <c r="AT130" s="112"/>
      <c r="AU130" s="108">
        <f>IF($AV$17&lt;&gt;"", COUNTIF($G$75:$J$129, "*")-COUNTIF($AV$75:$AV$129, "X"), "")</f>
        <v>55</v>
      </c>
      <c r="AV130" s="108">
        <f>IF($AW$17&lt;&gt;"", COUNTIF($G$75:$J$129, "*")-COUNTIF($AW$75:$AW$129, "X"), "")</f>
        <v>55</v>
      </c>
      <c r="AW130" s="109" t="str">
        <f>IF($AX$17&lt;&gt;"", COUNTIF($G$75:$J$129, "*")-COUNTIF($AX$75:$AX$129, "X"), "")</f>
        <v/>
      </c>
      <c r="AX130" s="107"/>
      <c r="AY130" s="109" t="str">
        <f>IF($AZ$17&lt;&gt;"", COUNTIF($G$75:$J$129, "*")-COUNTIF($AZ$75:$AZ$129, "X"), "")</f>
        <v/>
      </c>
      <c r="AZ130" s="110"/>
      <c r="BA130" s="107"/>
      <c r="BB130" s="109" t="str">
        <f>IF($BC$17&lt;&gt;"", COUNTIF($G$75:$J$129, "*")-COUNTIF($BC$75:$BC$129, "X"), "")</f>
        <v/>
      </c>
      <c r="BC130" s="107"/>
      <c r="BD130" s="111">
        <f>IF($BE$17&lt;&gt;"", COUNTIF($G$75:$J$129, "*")-COUNTIF($BE$75:$BE$129, "X"), "")</f>
        <v>55</v>
      </c>
      <c r="BE130" s="109" t="str">
        <f>IF($BF$17&lt;&gt;"", COUNTIF($G$75:$J$129, "*")-COUNTIF($BF$75:$BF$129, "X"), "")</f>
        <v/>
      </c>
      <c r="BF130" s="110"/>
      <c r="BG130" s="110"/>
      <c r="BH130" s="107"/>
      <c r="BI130" s="108">
        <f>IF($BJ$17&lt;&gt;"", COUNTIF($G$75:$J$129, "*")-COUNTIF($BJ$75:$BJ$129, "X"), "")</f>
        <v>55</v>
      </c>
      <c r="BJ130" s="108">
        <f>IF($BK$17&lt;&gt;"", COUNTIF($G$75:$J$129, "*")-COUNTIF($BK$75:$BK$129, "X"), "")</f>
        <v>55</v>
      </c>
      <c r="BK130" s="109" t="str">
        <f>IF($BL$17&lt;&gt;"", COUNTIF($G$75:$J$129, "*")-COUNTIF($BL$75:$BL$129, "X"), "")</f>
        <v/>
      </c>
      <c r="BL130" s="107"/>
      <c r="BM130" s="109" t="str">
        <f>IF($BN$17&lt;&gt;"", COUNTIF($G$75:$J$129, "*")-COUNTIF($BN$75:$BN$129, "X"), "")</f>
        <v/>
      </c>
      <c r="BN130" s="107"/>
      <c r="BO130" s="109" t="str">
        <f>IF($BP$17&lt;&gt;"", COUNTIF($G$75:$J$129, "*")-COUNTIF($BP$75:$BP$129, "X"), "")</f>
        <v/>
      </c>
      <c r="BP130" s="110"/>
      <c r="BQ130" s="110"/>
      <c r="BR130" s="112"/>
      <c r="BS130" s="113">
        <f>SUM(BS75:BU129)</f>
        <v>0</v>
      </c>
      <c r="BT130" s="114"/>
      <c r="BU130" s="115"/>
      <c r="BV130" s="113">
        <f>SUM(BV75:BY129)</f>
        <v>0</v>
      </c>
      <c r="BW130" s="114"/>
      <c r="BX130" s="114"/>
      <c r="BY130" s="115"/>
      <c r="BZ130" s="116" t="s">
        <v>16</v>
      </c>
      <c r="CA130" s="117"/>
      <c r="CB130" s="117"/>
      <c r="CC130" s="117"/>
      <c r="CD130" s="117"/>
      <c r="CE130" s="117"/>
      <c r="CF130" s="117"/>
      <c r="CG130" s="118"/>
    </row>
    <row r="131" spans="1:85" ht="15.75" thickBot="1">
      <c r="A131" s="119" t="s">
        <v>16</v>
      </c>
      <c r="B131" s="14"/>
      <c r="C131" s="14"/>
      <c r="D131" s="14"/>
      <c r="E131" s="14"/>
      <c r="F131" s="15"/>
      <c r="G131" s="120" t="s">
        <v>34</v>
      </c>
      <c r="H131" s="121"/>
      <c r="I131" s="121"/>
      <c r="J131" s="122"/>
      <c r="K131" s="106">
        <f>SUM(K74,K130)</f>
        <v>0</v>
      </c>
      <c r="L131" s="107"/>
      <c r="M131" s="108">
        <f>SUM(M74,M130)</f>
        <v>110</v>
      </c>
      <c r="N131" s="108">
        <f>SUM(N74,N130)</f>
        <v>110</v>
      </c>
      <c r="O131" s="109">
        <f>SUM(O74,O130)</f>
        <v>0</v>
      </c>
      <c r="P131" s="110"/>
      <c r="Q131" s="110"/>
      <c r="R131" s="107"/>
      <c r="S131" s="109">
        <f>SUM(S74,S130)</f>
        <v>0</v>
      </c>
      <c r="T131" s="110"/>
      <c r="U131" s="107"/>
      <c r="V131" s="111">
        <f>SUM(V74,V130)</f>
        <v>110</v>
      </c>
      <c r="W131" s="109">
        <f>SUM(W74,W130)</f>
        <v>0</v>
      </c>
      <c r="X131" s="110"/>
      <c r="Y131" s="107"/>
      <c r="Z131" s="108">
        <f>SUM(Z74,Z130)</f>
        <v>110</v>
      </c>
      <c r="AA131" s="108">
        <f>SUM(AA74,AA130)</f>
        <v>110</v>
      </c>
      <c r="AB131" s="109">
        <f>SUM(AB74,AB130)</f>
        <v>0</v>
      </c>
      <c r="AC131" s="110"/>
      <c r="AD131" s="107"/>
      <c r="AE131" s="109">
        <f>SUM(AE74,AE130)</f>
        <v>0</v>
      </c>
      <c r="AF131" s="110"/>
      <c r="AG131" s="107"/>
      <c r="AH131" s="111">
        <f>SUM(AH74,AH130)</f>
        <v>110</v>
      </c>
      <c r="AI131" s="109">
        <f>SUM(AI74,AI130)</f>
        <v>0</v>
      </c>
      <c r="AJ131" s="110"/>
      <c r="AK131" s="107"/>
      <c r="AL131" s="109">
        <f>SUM(AL74,AL130)</f>
        <v>0</v>
      </c>
      <c r="AM131" s="107"/>
      <c r="AN131" s="109">
        <f>SUM(AN74,AN130)</f>
        <v>0</v>
      </c>
      <c r="AO131" s="107"/>
      <c r="AP131" s="109">
        <f>SUM(AP74,AP130)</f>
        <v>0</v>
      </c>
      <c r="AQ131" s="107"/>
      <c r="AR131" s="108">
        <f>SUM(AR74,AR130)</f>
        <v>110</v>
      </c>
      <c r="AS131" s="109">
        <f>SUM(AS74,AS130)</f>
        <v>0</v>
      </c>
      <c r="AT131" s="112"/>
      <c r="AU131" s="108">
        <f>SUM(AU74,AU130)</f>
        <v>110</v>
      </c>
      <c r="AV131" s="108">
        <f>SUM(AV74,AV130)</f>
        <v>110</v>
      </c>
      <c r="AW131" s="109">
        <f>SUM(AW74,AW130)</f>
        <v>0</v>
      </c>
      <c r="AX131" s="107"/>
      <c r="AY131" s="109">
        <f>SUM(AY74,AY130)</f>
        <v>0</v>
      </c>
      <c r="AZ131" s="110"/>
      <c r="BA131" s="107"/>
      <c r="BB131" s="109">
        <f>SUM(BB74,BB130)</f>
        <v>0</v>
      </c>
      <c r="BC131" s="107"/>
      <c r="BD131" s="111">
        <f>SUM(BD74,BD130)</f>
        <v>110</v>
      </c>
      <c r="BE131" s="109">
        <f>SUM(BE74,BE130)</f>
        <v>0</v>
      </c>
      <c r="BF131" s="110"/>
      <c r="BG131" s="110"/>
      <c r="BH131" s="107"/>
      <c r="BI131" s="108">
        <f>SUM(BI74,BI130)</f>
        <v>110</v>
      </c>
      <c r="BJ131" s="108">
        <f>SUM(BJ74,BJ130)</f>
        <v>110</v>
      </c>
      <c r="BK131" s="109">
        <f>SUM(BK74,BK130)</f>
        <v>0</v>
      </c>
      <c r="BL131" s="107"/>
      <c r="BM131" s="109">
        <f>SUM(BM74,BM130)</f>
        <v>0</v>
      </c>
      <c r="BN131" s="107"/>
      <c r="BO131" s="109">
        <f>SUM(BO74,BO130)</f>
        <v>0</v>
      </c>
      <c r="BP131" s="110"/>
      <c r="BQ131" s="110"/>
      <c r="BR131" s="112"/>
      <c r="BS131" s="113">
        <f>BS74+BS130</f>
        <v>0</v>
      </c>
      <c r="BT131" s="114"/>
      <c r="BU131" s="115"/>
      <c r="BV131" s="113">
        <f>BV74+BV130</f>
        <v>0</v>
      </c>
      <c r="BW131" s="114"/>
      <c r="BX131" s="114"/>
      <c r="BY131" s="115"/>
      <c r="BZ131" s="116" t="s">
        <v>16</v>
      </c>
      <c r="CA131" s="117"/>
      <c r="CB131" s="117"/>
      <c r="CC131" s="117"/>
      <c r="CD131" s="117"/>
      <c r="CE131" s="117"/>
      <c r="CF131" s="117"/>
      <c r="CG131" s="118"/>
    </row>
    <row r="132" spans="1:85" ht="15.75" thickBot="1">
      <c r="A132" s="123"/>
      <c r="B132" s="124"/>
      <c r="C132" s="124"/>
      <c r="D132" s="124"/>
      <c r="E132" s="124"/>
      <c r="F132" s="125"/>
      <c r="G132" s="126"/>
      <c r="H132" s="127"/>
      <c r="I132" s="127"/>
      <c r="J132" s="128"/>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29" t="s">
        <v>35</v>
      </c>
      <c r="AQ132" s="130"/>
      <c r="AR132" s="130"/>
      <c r="AS132" s="130"/>
      <c r="AT132" s="130"/>
      <c r="AU132" s="130"/>
      <c r="AV132" s="130"/>
      <c r="AW132" s="130"/>
      <c r="AX132" s="130"/>
      <c r="AY132" s="130"/>
      <c r="AZ132" s="130"/>
      <c r="BA132" s="130"/>
      <c r="BB132" s="130"/>
      <c r="BC132" s="130"/>
      <c r="BD132" s="130"/>
      <c r="BE132" s="131"/>
      <c r="BF132" s="1"/>
      <c r="BG132" s="1"/>
      <c r="BH132" s="1"/>
      <c r="BI132" s="1"/>
      <c r="BJ132" s="1"/>
      <c r="BK132" s="1"/>
      <c r="BL132" s="1"/>
      <c r="BM132" s="1"/>
      <c r="BN132" s="1"/>
      <c r="BO132" s="1"/>
      <c r="BP132" s="132" t="s">
        <v>36</v>
      </c>
      <c r="BQ132" s="133"/>
      <c r="BR132" s="133"/>
      <c r="BS132" s="133"/>
      <c r="BT132" s="133"/>
      <c r="BU132" s="133"/>
      <c r="BV132" s="133"/>
      <c r="BW132" s="134" t="s">
        <v>37</v>
      </c>
      <c r="BX132" s="135"/>
      <c r="BY132" s="135"/>
      <c r="BZ132" s="135"/>
      <c r="CA132" s="135"/>
      <c r="CB132" s="136"/>
      <c r="CC132" s="50" t="s">
        <v>38</v>
      </c>
      <c r="CD132" s="50"/>
      <c r="CE132" s="50"/>
      <c r="CF132" s="51"/>
      <c r="CG132" s="1"/>
    </row>
    <row r="133" spans="1:8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37"/>
      <c r="AQ133" s="138"/>
      <c r="AR133" s="138"/>
      <c r="AS133" s="138"/>
      <c r="AT133" s="138"/>
      <c r="AU133" s="138"/>
      <c r="AV133" s="138"/>
      <c r="AW133" s="138"/>
      <c r="AX133" s="138"/>
      <c r="AY133" s="138"/>
      <c r="AZ133" s="138"/>
      <c r="BA133" s="138"/>
      <c r="BB133" s="138"/>
      <c r="BC133" s="138"/>
      <c r="BD133" s="138"/>
      <c r="BE133" s="139"/>
      <c r="BF133" s="1"/>
      <c r="BG133" s="1"/>
      <c r="BH133" s="1"/>
      <c r="BI133" s="1"/>
      <c r="BJ133" s="1"/>
      <c r="BK133" s="1"/>
      <c r="BL133" s="1"/>
      <c r="BM133" s="1"/>
      <c r="BN133" s="1"/>
      <c r="BO133" s="1"/>
      <c r="BP133" s="140"/>
      <c r="BQ133" s="141"/>
      <c r="BR133" s="141"/>
      <c r="BS133" s="141"/>
      <c r="BT133" s="141"/>
      <c r="BU133" s="141"/>
      <c r="BV133" s="141"/>
      <c r="BW133" s="142"/>
      <c r="BX133" s="143"/>
      <c r="BY133" s="143"/>
      <c r="BZ133" s="143"/>
      <c r="CA133" s="143"/>
      <c r="CB133" s="144"/>
      <c r="CC133" s="145"/>
      <c r="CD133" s="145"/>
      <c r="CE133" s="145"/>
      <c r="CF133" s="146"/>
      <c r="CG133" s="1"/>
    </row>
    <row r="134" spans="1:85" ht="15.75" thickBot="1">
      <c r="A134" s="147" t="s">
        <v>39</v>
      </c>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1"/>
      <c r="AP134" s="148" t="s">
        <v>40</v>
      </c>
      <c r="AQ134" s="149"/>
      <c r="AR134" s="149"/>
      <c r="AS134" s="149"/>
      <c r="AT134" s="149"/>
      <c r="AU134" s="149"/>
      <c r="AV134" s="149"/>
      <c r="AW134" s="149"/>
      <c r="AX134" s="149"/>
      <c r="AY134" s="149"/>
      <c r="AZ134" s="149"/>
      <c r="BA134" s="149"/>
      <c r="BB134" s="149"/>
      <c r="BC134" s="149"/>
      <c r="BD134" s="149"/>
      <c r="BE134" s="150"/>
      <c r="BF134" s="1"/>
      <c r="BG134" s="1"/>
      <c r="BH134" s="1"/>
      <c r="BI134" s="1"/>
      <c r="BJ134" s="1"/>
      <c r="BK134" s="1"/>
      <c r="BL134" s="1"/>
      <c r="BM134" s="1"/>
      <c r="BN134" s="1"/>
      <c r="BO134" s="1"/>
      <c r="BP134" s="151" t="str">
        <f>BN11</f>
        <v>JANUARY</v>
      </c>
      <c r="BQ134" s="152"/>
      <c r="BR134" s="152"/>
      <c r="BS134" s="152"/>
      <c r="BT134" s="152"/>
      <c r="BU134" s="152"/>
      <c r="BV134" s="153"/>
      <c r="BW134" s="154" t="s">
        <v>41</v>
      </c>
      <c r="BX134" s="155"/>
      <c r="BY134" s="155"/>
      <c r="BZ134" s="156" t="str">
        <f>[1]SF9FRONT!A3</f>
        <v>No. of school days</v>
      </c>
      <c r="CA134" s="157"/>
      <c r="CB134" s="158"/>
      <c r="CC134" s="159" t="s">
        <v>24</v>
      </c>
      <c r="CD134" s="160" t="s">
        <v>28</v>
      </c>
      <c r="CE134" s="161" t="s">
        <v>42</v>
      </c>
      <c r="CF134" s="162"/>
      <c r="CG134" s="1"/>
    </row>
    <row r="135" spans="1:8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1"/>
      <c r="AP135" s="148"/>
      <c r="AQ135" s="149"/>
      <c r="AR135" s="149"/>
      <c r="AS135" s="149"/>
      <c r="AT135" s="149"/>
      <c r="AU135" s="149"/>
      <c r="AV135" s="149"/>
      <c r="AW135" s="149"/>
      <c r="AX135" s="149"/>
      <c r="AY135" s="149"/>
      <c r="AZ135" s="149"/>
      <c r="BA135" s="149"/>
      <c r="BB135" s="149"/>
      <c r="BC135" s="149"/>
      <c r="BD135" s="149"/>
      <c r="BE135" s="150"/>
      <c r="BF135" s="1"/>
      <c r="BG135" s="1"/>
      <c r="BH135" s="1"/>
      <c r="BI135" s="1"/>
      <c r="BJ135" s="1"/>
      <c r="BK135" s="1"/>
      <c r="BL135" s="1"/>
      <c r="BM135" s="1"/>
      <c r="BN135" s="1"/>
      <c r="BO135" s="1"/>
      <c r="BP135" s="163" t="s">
        <v>43</v>
      </c>
      <c r="BQ135" s="164"/>
      <c r="BR135" s="164"/>
      <c r="BS135" s="164"/>
      <c r="BT135" s="164"/>
      <c r="BU135" s="164"/>
      <c r="BV135" s="164"/>
      <c r="BW135" s="164"/>
      <c r="BX135" s="164"/>
      <c r="BY135" s="164"/>
      <c r="BZ135" s="164"/>
      <c r="CA135" s="164"/>
      <c r="CB135" s="165"/>
      <c r="CC135" s="166">
        <f>COUNTIF(G19:J73,"*")</f>
        <v>55</v>
      </c>
      <c r="CD135" s="166">
        <f>COUNTIF(G75:J129,"*")</f>
        <v>55</v>
      </c>
      <c r="CE135" s="167">
        <f>CC135+CD135</f>
        <v>110</v>
      </c>
      <c r="CF135" s="168"/>
      <c r="CG135" s="1"/>
    </row>
    <row r="136" spans="1:8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1"/>
      <c r="AP136" s="137" t="s">
        <v>44</v>
      </c>
      <c r="AQ136" s="138"/>
      <c r="AR136" s="138"/>
      <c r="AS136" s="138"/>
      <c r="AT136" s="138"/>
      <c r="AU136" s="138"/>
      <c r="AV136" s="138"/>
      <c r="AW136" s="138"/>
      <c r="AX136" s="138"/>
      <c r="AY136" s="138"/>
      <c r="AZ136" s="138"/>
      <c r="BA136" s="138"/>
      <c r="BB136" s="138"/>
      <c r="BC136" s="138"/>
      <c r="BD136" s="138"/>
      <c r="BE136" s="139"/>
      <c r="BF136" s="1"/>
      <c r="BG136" s="1"/>
      <c r="BH136" s="1"/>
      <c r="BI136" s="1"/>
      <c r="BJ136" s="1"/>
      <c r="BK136" s="1"/>
      <c r="BL136" s="1"/>
      <c r="BM136" s="1"/>
      <c r="BN136" s="1"/>
      <c r="BO136" s="1"/>
      <c r="BP136" s="169"/>
      <c r="BQ136" s="170"/>
      <c r="BR136" s="170"/>
      <c r="BS136" s="170"/>
      <c r="BT136" s="170"/>
      <c r="BU136" s="170"/>
      <c r="BV136" s="170"/>
      <c r="BW136" s="170"/>
      <c r="BX136" s="170"/>
      <c r="BY136" s="170"/>
      <c r="BZ136" s="170"/>
      <c r="CA136" s="170"/>
      <c r="CB136" s="171"/>
      <c r="CC136" s="172"/>
      <c r="CD136" s="172"/>
      <c r="CE136" s="173"/>
      <c r="CF136" s="174"/>
      <c r="CG136" s="1"/>
    </row>
    <row r="137" spans="1:8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1"/>
      <c r="AP137" s="137"/>
      <c r="AQ137" s="3"/>
      <c r="AR137" s="3"/>
      <c r="AS137" s="3"/>
      <c r="AT137" s="3"/>
      <c r="AU137" s="3"/>
      <c r="AV137" s="3"/>
      <c r="AW137" s="3"/>
      <c r="AX137" s="3"/>
      <c r="AY137" s="3"/>
      <c r="AZ137" s="3"/>
      <c r="BA137" s="3"/>
      <c r="BB137" s="3"/>
      <c r="BC137" s="3"/>
      <c r="BD137" s="3"/>
      <c r="BE137" s="139"/>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66">
        <v>0</v>
      </c>
      <c r="CD137" s="166">
        <v>0</v>
      </c>
      <c r="CE137" s="167">
        <f>CC137+CD137</f>
        <v>0</v>
      </c>
      <c r="CF137" s="168"/>
      <c r="CG137" s="1"/>
    </row>
    <row r="138" spans="1:8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1"/>
      <c r="AP138" s="137"/>
      <c r="AQ138" s="138"/>
      <c r="AR138" s="138"/>
      <c r="AS138" s="138"/>
      <c r="AT138" s="138"/>
      <c r="AU138" s="138"/>
      <c r="AV138" s="138"/>
      <c r="AW138" s="138"/>
      <c r="AX138" s="138"/>
      <c r="AY138" s="138"/>
      <c r="AZ138" s="138"/>
      <c r="BA138" s="138"/>
      <c r="BB138" s="138"/>
      <c r="BC138" s="138"/>
      <c r="BD138" s="138"/>
      <c r="BE138" s="139"/>
      <c r="BF138" s="1"/>
      <c r="BG138" s="1"/>
      <c r="BH138" s="1"/>
      <c r="BI138" s="1"/>
      <c r="BJ138" s="1"/>
      <c r="BK138" s="1"/>
      <c r="BL138" s="1"/>
      <c r="BM138" s="1"/>
      <c r="BN138" s="1"/>
      <c r="BO138" s="1"/>
      <c r="BP138" s="175" t="s">
        <v>45</v>
      </c>
      <c r="BQ138" s="176"/>
      <c r="BR138" s="176"/>
      <c r="BS138" s="176"/>
      <c r="BT138" s="177"/>
      <c r="BU138" s="178" t="s">
        <v>46</v>
      </c>
      <c r="BV138" s="178"/>
      <c r="BW138" s="178"/>
      <c r="BX138" s="178"/>
      <c r="BY138" s="178"/>
      <c r="BZ138" s="178"/>
      <c r="CA138" s="178"/>
      <c r="CB138" s="179"/>
      <c r="CC138" s="180"/>
      <c r="CD138" s="180"/>
      <c r="CE138" s="181"/>
      <c r="CF138" s="182"/>
      <c r="CG138" s="1"/>
    </row>
    <row r="139" spans="1:85">
      <c r="A139" s="1"/>
      <c r="B139" s="1"/>
      <c r="C139" s="1"/>
      <c r="D139" s="1"/>
      <c r="E139" s="1"/>
      <c r="F139" s="183" t="s">
        <v>47</v>
      </c>
      <c r="G139" s="3"/>
      <c r="H139" s="3"/>
      <c r="I139" s="3"/>
      <c r="J139" s="3"/>
      <c r="K139" s="3"/>
      <c r="L139" s="184" t="s">
        <v>48</v>
      </c>
      <c r="M139" s="184"/>
      <c r="N139" s="184"/>
      <c r="O139" s="184"/>
      <c r="P139" s="184"/>
      <c r="Q139" s="184"/>
      <c r="R139" s="184"/>
      <c r="S139" s="184"/>
      <c r="T139" s="184"/>
      <c r="U139" s="184"/>
      <c r="V139" s="184"/>
      <c r="W139" s="184"/>
      <c r="X139" s="184"/>
      <c r="Y139" s="184"/>
      <c r="Z139" s="184"/>
      <c r="AA139" s="184"/>
      <c r="AB139" s="184"/>
      <c r="AC139" s="184"/>
      <c r="AD139" s="184"/>
      <c r="AE139" s="184"/>
      <c r="AF139" s="184"/>
      <c r="AG139" s="184"/>
      <c r="AH139" s="185" t="s">
        <v>49</v>
      </c>
      <c r="AI139" s="3"/>
      <c r="AJ139" s="3"/>
      <c r="AK139" s="3"/>
      <c r="AL139" s="3"/>
      <c r="AM139" s="1"/>
      <c r="AN139" s="1"/>
      <c r="AO139" s="1"/>
      <c r="AP139" s="137" t="s">
        <v>50</v>
      </c>
      <c r="AQ139" s="138"/>
      <c r="AR139" s="138"/>
      <c r="AS139" s="138"/>
      <c r="AT139" s="138"/>
      <c r="AU139" s="138"/>
      <c r="AV139" s="138"/>
      <c r="AW139" s="138"/>
      <c r="AX139" s="138"/>
      <c r="AY139" s="138"/>
      <c r="AZ139" s="138"/>
      <c r="BA139" s="138"/>
      <c r="BB139" s="138"/>
      <c r="BC139" s="138"/>
      <c r="BD139" s="138"/>
      <c r="BE139" s="139"/>
      <c r="BF139" s="1"/>
      <c r="BG139" s="1"/>
      <c r="BH139" s="1"/>
      <c r="BI139" s="1"/>
      <c r="BJ139" s="1"/>
      <c r="BK139" s="1"/>
      <c r="BL139" s="1"/>
      <c r="BM139" s="1"/>
      <c r="BN139" s="1"/>
      <c r="BO139" s="1"/>
      <c r="BP139" s="175"/>
      <c r="BQ139" s="176"/>
      <c r="BR139" s="176"/>
      <c r="BS139" s="176"/>
      <c r="BT139" s="177"/>
      <c r="BU139" s="178"/>
      <c r="BV139" s="178"/>
      <c r="BW139" s="178"/>
      <c r="BX139" s="178"/>
      <c r="BY139" s="178"/>
      <c r="BZ139" s="178"/>
      <c r="CA139" s="178"/>
      <c r="CB139" s="179"/>
      <c r="CC139" s="180"/>
      <c r="CD139" s="180"/>
      <c r="CE139" s="181"/>
      <c r="CF139" s="182"/>
      <c r="CG139" s="1"/>
    </row>
    <row r="140" spans="1:85">
      <c r="A140" s="1"/>
      <c r="B140" s="1"/>
      <c r="C140" s="1"/>
      <c r="D140" s="1"/>
      <c r="E140" s="1"/>
      <c r="F140" s="3"/>
      <c r="G140" s="3"/>
      <c r="H140" s="3"/>
      <c r="I140" s="3"/>
      <c r="J140" s="3"/>
      <c r="K140" s="3"/>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3"/>
      <c r="AI140" s="3"/>
      <c r="AJ140" s="3"/>
      <c r="AK140" s="3"/>
      <c r="AL140" s="3"/>
      <c r="AM140" s="1"/>
      <c r="AN140" s="1"/>
      <c r="AO140" s="1"/>
      <c r="AP140" s="137"/>
      <c r="AQ140" s="138"/>
      <c r="AR140" s="138"/>
      <c r="AS140" s="138"/>
      <c r="AT140" s="138"/>
      <c r="AU140" s="138"/>
      <c r="AV140" s="138"/>
      <c r="AW140" s="138"/>
      <c r="AX140" s="138"/>
      <c r="AY140" s="138"/>
      <c r="AZ140" s="138"/>
      <c r="BA140" s="138"/>
      <c r="BB140" s="138"/>
      <c r="BC140" s="138"/>
      <c r="BD140" s="138"/>
      <c r="BE140" s="139"/>
      <c r="BF140" s="1"/>
      <c r="BG140" s="1"/>
      <c r="BH140" s="1"/>
      <c r="BI140" s="1"/>
      <c r="BJ140" s="1"/>
      <c r="BK140" s="1"/>
      <c r="BL140" s="1"/>
      <c r="BM140" s="1"/>
      <c r="BN140" s="1"/>
      <c r="BO140" s="1"/>
      <c r="BP140" s="175" t="s">
        <v>51</v>
      </c>
      <c r="BQ140" s="176"/>
      <c r="BR140" s="176"/>
      <c r="BS140" s="176"/>
      <c r="BT140" s="176"/>
      <c r="BU140" s="176"/>
      <c r="BV140" s="176"/>
      <c r="BW140" s="176"/>
      <c r="BX140" s="176"/>
      <c r="BY140" s="176"/>
      <c r="BZ140" s="176"/>
      <c r="CA140" s="176"/>
      <c r="CB140" s="186"/>
      <c r="CC140" s="180"/>
      <c r="CD140" s="180"/>
      <c r="CE140" s="181"/>
      <c r="CF140" s="182"/>
      <c r="CG140" s="1"/>
    </row>
    <row r="141" spans="1:85">
      <c r="A141" s="1"/>
      <c r="B141" s="1"/>
      <c r="C141" s="1"/>
      <c r="D141" s="1"/>
      <c r="E141" s="1"/>
      <c r="F141" s="3"/>
      <c r="G141" s="3"/>
      <c r="H141" s="3"/>
      <c r="I141" s="3"/>
      <c r="J141" s="3"/>
      <c r="K141" s="3"/>
      <c r="L141" s="185" t="s">
        <v>52</v>
      </c>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1"/>
      <c r="AN141" s="1"/>
      <c r="AO141" s="1"/>
      <c r="AP141" s="187" t="s">
        <v>53</v>
      </c>
      <c r="AQ141" s="188"/>
      <c r="AR141" s="188"/>
      <c r="AS141" s="188"/>
      <c r="AT141" s="188"/>
      <c r="AU141" s="188"/>
      <c r="AV141" s="188"/>
      <c r="AW141" s="188"/>
      <c r="AX141" s="188"/>
      <c r="AY141" s="188"/>
      <c r="AZ141" s="188"/>
      <c r="BA141" s="188"/>
      <c r="BB141" s="188"/>
      <c r="BC141" s="188"/>
      <c r="BD141" s="188"/>
      <c r="BE141" s="189"/>
      <c r="BF141" s="1"/>
      <c r="BG141" s="1"/>
      <c r="BH141" s="1"/>
      <c r="BI141" s="1"/>
      <c r="BJ141" s="1"/>
      <c r="BK141" s="1"/>
      <c r="BL141" s="1"/>
      <c r="BM141" s="1"/>
      <c r="BN141" s="1"/>
      <c r="BO141" s="1"/>
      <c r="BP141" s="190"/>
      <c r="BQ141" s="191"/>
      <c r="BR141" s="191"/>
      <c r="BS141" s="191"/>
      <c r="BT141" s="191"/>
      <c r="BU141" s="191"/>
      <c r="BV141" s="191"/>
      <c r="BW141" s="191"/>
      <c r="BX141" s="191"/>
      <c r="BY141" s="191"/>
      <c r="BZ141" s="191"/>
      <c r="CA141" s="191"/>
      <c r="CB141" s="192"/>
      <c r="CC141" s="172"/>
      <c r="CD141" s="172"/>
      <c r="CE141" s="173"/>
      <c r="CF141" s="174"/>
      <c r="CG141" s="1"/>
    </row>
    <row r="142" spans="1:85">
      <c r="A142" s="1"/>
      <c r="B142" s="1"/>
      <c r="C142" s="1"/>
      <c r="D142" s="1"/>
      <c r="E142" s="1"/>
      <c r="F142" s="183" t="s">
        <v>54</v>
      </c>
      <c r="G142" s="3"/>
      <c r="H142" s="3"/>
      <c r="I142" s="3"/>
      <c r="J142" s="3"/>
      <c r="K142" s="3"/>
      <c r="L142" s="26" t="s">
        <v>55</v>
      </c>
      <c r="M142" s="26"/>
      <c r="N142" s="26"/>
      <c r="O142" s="26"/>
      <c r="P142" s="26"/>
      <c r="Q142" s="26"/>
      <c r="R142" s="26"/>
      <c r="S142" s="26"/>
      <c r="T142" s="26"/>
      <c r="U142" s="26"/>
      <c r="V142" s="26"/>
      <c r="W142" s="26"/>
      <c r="X142" s="26"/>
      <c r="Y142" s="26"/>
      <c r="Z142" s="26"/>
      <c r="AA142" s="26"/>
      <c r="AB142" s="26"/>
      <c r="AC142" s="26"/>
      <c r="AD142" s="26"/>
      <c r="AE142" s="26"/>
      <c r="AF142" s="26"/>
      <c r="AG142" s="26"/>
      <c r="AH142" s="1"/>
      <c r="AI142" s="1"/>
      <c r="AJ142" s="1"/>
      <c r="AK142" s="1"/>
      <c r="AL142" s="1"/>
      <c r="AM142" s="1"/>
      <c r="AN142" s="1"/>
      <c r="AO142" s="1"/>
      <c r="AP142" s="187"/>
      <c r="AQ142" s="3"/>
      <c r="AR142" s="3"/>
      <c r="AS142" s="3"/>
      <c r="AT142" s="3"/>
      <c r="AU142" s="3"/>
      <c r="AV142" s="3"/>
      <c r="AW142" s="3"/>
      <c r="AX142" s="3"/>
      <c r="AY142" s="3"/>
      <c r="AZ142" s="3"/>
      <c r="BA142" s="3"/>
      <c r="BB142" s="3"/>
      <c r="BC142" s="3"/>
      <c r="BD142" s="3"/>
      <c r="BE142" s="189"/>
      <c r="BF142" s="1"/>
      <c r="BG142" s="1"/>
      <c r="BH142" s="1"/>
      <c r="BI142" s="1"/>
      <c r="BJ142" s="1"/>
      <c r="BK142" s="1"/>
      <c r="BL142" s="1"/>
      <c r="BM142" s="1"/>
      <c r="BN142" s="1"/>
      <c r="BO142" s="1"/>
      <c r="BP142" s="193" t="s">
        <v>56</v>
      </c>
      <c r="BQ142" s="194"/>
      <c r="BR142" s="194"/>
      <c r="BS142" s="194"/>
      <c r="BT142" s="194"/>
      <c r="BU142" s="194"/>
      <c r="BV142" s="194"/>
      <c r="BW142" s="194"/>
      <c r="BX142" s="194"/>
      <c r="BY142" s="194"/>
      <c r="BZ142" s="194"/>
      <c r="CA142" s="194"/>
      <c r="CB142" s="195"/>
      <c r="CC142" s="196">
        <f>CC135</f>
        <v>55</v>
      </c>
      <c r="CD142" s="196">
        <f>CD135</f>
        <v>55</v>
      </c>
      <c r="CE142" s="197">
        <f>CC142+CD142</f>
        <v>110</v>
      </c>
      <c r="CF142" s="198"/>
      <c r="CG142" s="1"/>
    </row>
    <row r="143" spans="1:85">
      <c r="A143" s="1"/>
      <c r="B143" s="1"/>
      <c r="C143" s="1"/>
      <c r="D143" s="1"/>
      <c r="E143" s="1"/>
      <c r="F143" s="3"/>
      <c r="G143" s="3"/>
      <c r="H143" s="3"/>
      <c r="I143" s="3"/>
      <c r="J143" s="3"/>
      <c r="K143" s="3"/>
      <c r="L143" s="185" t="s">
        <v>57</v>
      </c>
      <c r="M143" s="3"/>
      <c r="N143" s="3"/>
      <c r="O143" s="3"/>
      <c r="P143" s="3"/>
      <c r="Q143" s="3"/>
      <c r="R143" s="3"/>
      <c r="S143" s="3"/>
      <c r="T143" s="3"/>
      <c r="U143" s="3"/>
      <c r="V143" s="3"/>
      <c r="W143" s="3"/>
      <c r="X143" s="3"/>
      <c r="Y143" s="3"/>
      <c r="Z143" s="3"/>
      <c r="AA143" s="3"/>
      <c r="AB143" s="3"/>
      <c r="AC143" s="3"/>
      <c r="AD143" s="3"/>
      <c r="AE143" s="3"/>
      <c r="AF143" s="3"/>
      <c r="AG143" s="3"/>
      <c r="AH143" s="1"/>
      <c r="AI143" s="1"/>
      <c r="AJ143" s="1"/>
      <c r="AK143" s="1"/>
      <c r="AL143" s="1"/>
      <c r="AM143" s="1"/>
      <c r="AN143" s="1"/>
      <c r="AO143" s="1"/>
      <c r="AP143" s="187"/>
      <c r="AQ143" s="3"/>
      <c r="AR143" s="3"/>
      <c r="AS143" s="3"/>
      <c r="AT143" s="3"/>
      <c r="AU143" s="3"/>
      <c r="AV143" s="3"/>
      <c r="AW143" s="3"/>
      <c r="AX143" s="3"/>
      <c r="AY143" s="3"/>
      <c r="AZ143" s="3"/>
      <c r="BA143" s="3"/>
      <c r="BB143" s="3"/>
      <c r="BC143" s="3"/>
      <c r="BD143" s="3"/>
      <c r="BE143" s="189"/>
      <c r="BF143" s="1"/>
      <c r="BG143" s="1"/>
      <c r="BH143" s="1"/>
      <c r="BI143" s="1"/>
      <c r="BJ143" s="1"/>
      <c r="BK143" s="1"/>
      <c r="BL143" s="1"/>
      <c r="BM143" s="1"/>
      <c r="BN143" s="1"/>
      <c r="BO143" s="1"/>
      <c r="BP143" s="199" t="s">
        <v>58</v>
      </c>
      <c r="BQ143" s="200"/>
      <c r="BR143" s="200"/>
      <c r="BS143" s="200"/>
      <c r="BT143" s="200"/>
      <c r="BU143" s="200"/>
      <c r="BV143" s="200"/>
      <c r="BW143" s="200"/>
      <c r="BX143" s="200"/>
      <c r="BY143" s="200"/>
      <c r="BZ143" s="200"/>
      <c r="CA143" s="200"/>
      <c r="CB143" s="201"/>
      <c r="CC143" s="202"/>
      <c r="CD143" s="202"/>
      <c r="CE143" s="203"/>
      <c r="CF143" s="204"/>
      <c r="CG143" s="1"/>
    </row>
    <row r="144" spans="1:85">
      <c r="A144" s="1"/>
      <c r="B144" s="1"/>
      <c r="C144" s="1"/>
      <c r="D144" s="1"/>
      <c r="E144" s="1"/>
      <c r="F144" s="183" t="s">
        <v>59</v>
      </c>
      <c r="G144" s="3"/>
      <c r="H144" s="3"/>
      <c r="I144" s="3"/>
      <c r="J144" s="3"/>
      <c r="K144" s="3"/>
      <c r="L144" s="26" t="s">
        <v>60</v>
      </c>
      <c r="M144" s="26"/>
      <c r="N144" s="26"/>
      <c r="O144" s="26"/>
      <c r="P144" s="26"/>
      <c r="Q144" s="26"/>
      <c r="R144" s="26"/>
      <c r="S144" s="26"/>
      <c r="T144" s="26"/>
      <c r="U144" s="26"/>
      <c r="V144" s="26"/>
      <c r="W144" s="26"/>
      <c r="X144" s="26"/>
      <c r="Y144" s="26"/>
      <c r="Z144" s="26"/>
      <c r="AA144" s="26"/>
      <c r="AB144" s="26"/>
      <c r="AC144" s="26"/>
      <c r="AD144" s="26"/>
      <c r="AE144" s="26"/>
      <c r="AF144" s="26"/>
      <c r="AG144" s="26"/>
      <c r="AH144" s="185" t="s">
        <v>49</v>
      </c>
      <c r="AI144" s="3"/>
      <c r="AJ144" s="3"/>
      <c r="AK144" s="3"/>
      <c r="AL144" s="3"/>
      <c r="AM144" s="1"/>
      <c r="AN144" s="1"/>
      <c r="AO144" s="1"/>
      <c r="AP144" s="187"/>
      <c r="AQ144" s="188"/>
      <c r="AR144" s="188"/>
      <c r="AS144" s="188"/>
      <c r="AT144" s="188"/>
      <c r="AU144" s="188"/>
      <c r="AV144" s="188"/>
      <c r="AW144" s="188"/>
      <c r="AX144" s="188"/>
      <c r="AY144" s="188"/>
      <c r="AZ144" s="188"/>
      <c r="BA144" s="188"/>
      <c r="BB144" s="188"/>
      <c r="BC144" s="188"/>
      <c r="BD144" s="188"/>
      <c r="BE144" s="189"/>
      <c r="BF144" s="1"/>
      <c r="BG144" s="1"/>
      <c r="BH144" s="1"/>
      <c r="BI144" s="1"/>
      <c r="BJ144" s="1"/>
      <c r="BK144" s="1"/>
      <c r="BL144" s="1"/>
      <c r="BM144" s="1"/>
      <c r="BN144" s="1"/>
      <c r="BO144" s="1"/>
      <c r="BP144" s="193" t="s">
        <v>61</v>
      </c>
      <c r="BQ144" s="194"/>
      <c r="BR144" s="194"/>
      <c r="BS144" s="194"/>
      <c r="BT144" s="194"/>
      <c r="BU144" s="194"/>
      <c r="BV144" s="194"/>
      <c r="BW144" s="194"/>
      <c r="BX144" s="194"/>
      <c r="BY144" s="194"/>
      <c r="BZ144" s="194"/>
      <c r="CA144" s="194"/>
      <c r="CB144" s="195"/>
      <c r="CC144" s="205">
        <f>CC142/CC135</f>
        <v>1</v>
      </c>
      <c r="CD144" s="205">
        <f>CD142/CD135</f>
        <v>1</v>
      </c>
      <c r="CE144" s="206">
        <f>CE142/CE135</f>
        <v>1</v>
      </c>
      <c r="CF144" s="198"/>
      <c r="CG144" s="1"/>
    </row>
    <row r="145" spans="1:85">
      <c r="A145" s="1"/>
      <c r="B145" s="1"/>
      <c r="C145" s="1"/>
      <c r="D145" s="1"/>
      <c r="E145" s="1"/>
      <c r="F145" s="3"/>
      <c r="G145" s="3"/>
      <c r="H145" s="3"/>
      <c r="I145" s="3"/>
      <c r="J145" s="3"/>
      <c r="K145" s="3"/>
      <c r="L145" s="185" t="s">
        <v>48</v>
      </c>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1"/>
      <c r="AN145" s="1"/>
      <c r="AO145" s="1"/>
      <c r="AP145" s="137" t="s">
        <v>62</v>
      </c>
      <c r="AQ145" s="138"/>
      <c r="AR145" s="138"/>
      <c r="AS145" s="138"/>
      <c r="AT145" s="138"/>
      <c r="AU145" s="138"/>
      <c r="AV145" s="138"/>
      <c r="AW145" s="138"/>
      <c r="AX145" s="138"/>
      <c r="AY145" s="138"/>
      <c r="AZ145" s="138"/>
      <c r="BA145" s="138"/>
      <c r="BB145" s="138"/>
      <c r="BC145" s="138"/>
      <c r="BD145" s="138"/>
      <c r="BE145" s="139"/>
      <c r="BF145" s="1"/>
      <c r="BG145" s="1"/>
      <c r="BH145" s="1"/>
      <c r="BI145" s="1"/>
      <c r="BJ145" s="1"/>
      <c r="BK145" s="1"/>
      <c r="BL145" s="1"/>
      <c r="BM145" s="1"/>
      <c r="BN145" s="1"/>
      <c r="BO145" s="1"/>
      <c r="BP145" s="199" t="s">
        <v>58</v>
      </c>
      <c r="BQ145" s="200"/>
      <c r="BR145" s="200"/>
      <c r="BS145" s="200"/>
      <c r="BT145" s="200"/>
      <c r="BU145" s="200"/>
      <c r="BV145" s="200"/>
      <c r="BW145" s="200"/>
      <c r="BX145" s="200"/>
      <c r="BY145" s="200"/>
      <c r="BZ145" s="200"/>
      <c r="CA145" s="200"/>
      <c r="CB145" s="201"/>
      <c r="CC145" s="202"/>
      <c r="CD145" s="202"/>
      <c r="CE145" s="203"/>
      <c r="CF145" s="204"/>
      <c r="CG145" s="1"/>
    </row>
    <row r="146" spans="1:8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87" t="s">
        <v>63</v>
      </c>
      <c r="AQ146" s="188"/>
      <c r="AR146" s="188"/>
      <c r="AS146" s="188"/>
      <c r="AT146" s="188"/>
      <c r="AU146" s="188"/>
      <c r="AV146" s="188"/>
      <c r="AW146" s="188"/>
      <c r="AX146" s="188"/>
      <c r="AY146" s="188"/>
      <c r="AZ146" s="188"/>
      <c r="BA146" s="188"/>
      <c r="BB146" s="188"/>
      <c r="BC146" s="188"/>
      <c r="BD146" s="188"/>
      <c r="BE146" s="189"/>
      <c r="BF146" s="1"/>
      <c r="BG146" s="1"/>
      <c r="BH146" s="1"/>
      <c r="BI146" s="1"/>
      <c r="BJ146" s="1"/>
      <c r="BK146" s="1"/>
      <c r="BL146" s="1"/>
      <c r="BM146" s="1"/>
      <c r="BN146" s="1"/>
      <c r="BO146" s="1"/>
      <c r="BP146" s="175" t="s">
        <v>64</v>
      </c>
      <c r="BQ146" s="176"/>
      <c r="BR146" s="176"/>
      <c r="BS146" s="176"/>
      <c r="BT146" s="176"/>
      <c r="BU146" s="176"/>
      <c r="BV146" s="176"/>
      <c r="BW146" s="176"/>
      <c r="BX146" s="176"/>
      <c r="BY146" s="176"/>
      <c r="BZ146" s="176"/>
      <c r="CA146" s="176"/>
      <c r="CB146" s="186"/>
      <c r="CC146" s="207" t="e">
        <f>BV74/BZ134</f>
        <v>#VALUE!</v>
      </c>
      <c r="CD146" s="208" t="e">
        <f>BV130/BZ134</f>
        <v>#VALUE!</v>
      </c>
      <c r="CE146" s="209" t="e">
        <f>CC146+CD146</f>
        <v>#VALUE!</v>
      </c>
      <c r="CF146" s="210"/>
      <c r="CG146" s="1"/>
    </row>
    <row r="147" spans="1:85">
      <c r="A147" s="211" t="s">
        <v>65</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1"/>
      <c r="AP147" s="187"/>
      <c r="AQ147" s="3"/>
      <c r="AR147" s="3"/>
      <c r="AS147" s="3"/>
      <c r="AT147" s="3"/>
      <c r="AU147" s="3"/>
      <c r="AV147" s="3"/>
      <c r="AW147" s="3"/>
      <c r="AX147" s="3"/>
      <c r="AY147" s="3"/>
      <c r="AZ147" s="3"/>
      <c r="BA147" s="3"/>
      <c r="BB147" s="3"/>
      <c r="BC147" s="3"/>
      <c r="BD147" s="3"/>
      <c r="BE147" s="189"/>
      <c r="BF147" s="1"/>
      <c r="BG147" s="1"/>
      <c r="BH147" s="1"/>
      <c r="BI147" s="1"/>
      <c r="BJ147" s="1"/>
      <c r="BK147" s="1"/>
      <c r="BL147" s="1"/>
      <c r="BM147" s="1"/>
      <c r="BN147" s="1"/>
      <c r="BO147" s="1"/>
      <c r="BP147" s="190"/>
      <c r="BQ147" s="191"/>
      <c r="BR147" s="191"/>
      <c r="BS147" s="191"/>
      <c r="BT147" s="191"/>
      <c r="BU147" s="191"/>
      <c r="BV147" s="191"/>
      <c r="BW147" s="191"/>
      <c r="BX147" s="191"/>
      <c r="BY147" s="191"/>
      <c r="BZ147" s="191"/>
      <c r="CA147" s="191"/>
      <c r="CB147" s="192"/>
      <c r="CC147" s="212"/>
      <c r="CD147" s="213"/>
      <c r="CE147" s="214"/>
      <c r="CF147" s="215"/>
      <c r="CG147" s="1"/>
    </row>
    <row r="148" spans="1:8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1"/>
      <c r="AP148" s="187"/>
      <c r="AQ148" s="3"/>
      <c r="AR148" s="3"/>
      <c r="AS148" s="3"/>
      <c r="AT148" s="3"/>
      <c r="AU148" s="3"/>
      <c r="AV148" s="3"/>
      <c r="AW148" s="3"/>
      <c r="AX148" s="3"/>
      <c r="AY148" s="3"/>
      <c r="AZ148" s="3"/>
      <c r="BA148" s="3"/>
      <c r="BB148" s="3"/>
      <c r="BC148" s="3"/>
      <c r="BD148" s="3"/>
      <c r="BE148" s="189"/>
      <c r="BF148" s="1"/>
      <c r="BG148" s="1"/>
      <c r="BH148" s="1"/>
      <c r="BI148" s="1"/>
      <c r="BJ148" s="1"/>
      <c r="BK148" s="1"/>
      <c r="BL148" s="1"/>
      <c r="BM148" s="1"/>
      <c r="BN148" s="1"/>
      <c r="BO148" s="1"/>
      <c r="BP148" s="190" t="s">
        <v>66</v>
      </c>
      <c r="BQ148" s="191"/>
      <c r="BR148" s="191"/>
      <c r="BS148" s="191"/>
      <c r="BT148" s="191"/>
      <c r="BU148" s="191"/>
      <c r="BV148" s="191"/>
      <c r="BW148" s="191"/>
      <c r="BX148" s="191"/>
      <c r="BY148" s="191"/>
      <c r="BZ148" s="191"/>
      <c r="CA148" s="191"/>
      <c r="CB148" s="192"/>
      <c r="CC148" s="216" t="e">
        <f>BV74/(BZ134*CC135)</f>
        <v>#VALUE!</v>
      </c>
      <c r="CD148" s="216" t="e">
        <f>BV130/(BZ134*CD135)</f>
        <v>#VALUE!</v>
      </c>
      <c r="CE148" s="217" t="e">
        <f>BV131/(BZ134*CE135)</f>
        <v>#VALUE!</v>
      </c>
      <c r="CF148" s="218"/>
      <c r="CG148" s="1"/>
    </row>
    <row r="149" spans="1:8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1"/>
      <c r="AP149" s="187"/>
      <c r="AQ149" s="3"/>
      <c r="AR149" s="3"/>
      <c r="AS149" s="3"/>
      <c r="AT149" s="3"/>
      <c r="AU149" s="3"/>
      <c r="AV149" s="3"/>
      <c r="AW149" s="3"/>
      <c r="AX149" s="3"/>
      <c r="AY149" s="3"/>
      <c r="AZ149" s="3"/>
      <c r="BA149" s="3"/>
      <c r="BB149" s="3"/>
      <c r="BC149" s="3"/>
      <c r="BD149" s="3"/>
      <c r="BE149" s="189"/>
      <c r="BF149" s="1"/>
      <c r="BG149" s="1"/>
      <c r="BH149" s="1"/>
      <c r="BI149" s="1"/>
      <c r="BJ149" s="1"/>
      <c r="BK149" s="1"/>
      <c r="BL149" s="1"/>
      <c r="BM149" s="1"/>
      <c r="BN149" s="1"/>
      <c r="BO149" s="1"/>
      <c r="BP149" s="190" t="s">
        <v>67</v>
      </c>
      <c r="BQ149" s="191"/>
      <c r="BR149" s="191"/>
      <c r="BS149" s="191"/>
      <c r="BT149" s="191"/>
      <c r="BU149" s="191"/>
      <c r="BV149" s="191"/>
      <c r="BW149" s="191"/>
      <c r="BX149" s="191"/>
      <c r="BY149" s="191"/>
      <c r="BZ149" s="191"/>
      <c r="CA149" s="191"/>
      <c r="CB149" s="192"/>
      <c r="CC149" s="219">
        <v>0</v>
      </c>
      <c r="CD149" s="219">
        <v>0</v>
      </c>
      <c r="CE149" s="220">
        <v>0</v>
      </c>
      <c r="CF149" s="221"/>
      <c r="CG149" s="1"/>
    </row>
    <row r="150" spans="1:8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1"/>
      <c r="AP150" s="187"/>
      <c r="AQ150" s="188"/>
      <c r="AR150" s="188"/>
      <c r="AS150" s="188"/>
      <c r="AT150" s="188"/>
      <c r="AU150" s="188"/>
      <c r="AV150" s="188"/>
      <c r="AW150" s="188"/>
      <c r="AX150" s="188"/>
      <c r="AY150" s="188"/>
      <c r="AZ150" s="188"/>
      <c r="BA150" s="188"/>
      <c r="BB150" s="188"/>
      <c r="BC150" s="188"/>
      <c r="BD150" s="188"/>
      <c r="BE150" s="189"/>
      <c r="BF150" s="1"/>
      <c r="BG150" s="1"/>
      <c r="BH150" s="1"/>
      <c r="BI150" s="1"/>
      <c r="BJ150" s="1"/>
      <c r="BK150" s="1"/>
      <c r="BL150" s="1"/>
      <c r="BM150" s="1"/>
      <c r="BN150" s="1"/>
      <c r="BO150" s="1"/>
      <c r="BP150" s="222" t="s">
        <v>16</v>
      </c>
      <c r="BQ150" s="223"/>
      <c r="BR150" s="223"/>
      <c r="BS150" s="223"/>
      <c r="BT150" s="223"/>
      <c r="BU150" s="223"/>
      <c r="BV150" s="223"/>
      <c r="BW150" s="223"/>
      <c r="BX150" s="223"/>
      <c r="BY150" s="223"/>
      <c r="BZ150" s="223"/>
      <c r="CA150" s="223"/>
      <c r="CB150" s="224"/>
      <c r="CC150" s="225" t="s">
        <v>16</v>
      </c>
      <c r="CD150" s="225" t="s">
        <v>16</v>
      </c>
      <c r="CE150" s="226" t="s">
        <v>16</v>
      </c>
      <c r="CF150" s="227"/>
      <c r="CG150" s="1"/>
    </row>
    <row r="151" spans="1:8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37" t="s">
        <v>68</v>
      </c>
      <c r="AQ151" s="138"/>
      <c r="AR151" s="138"/>
      <c r="AS151" s="138"/>
      <c r="AT151" s="138"/>
      <c r="AU151" s="138"/>
      <c r="AV151" s="138"/>
      <c r="AW151" s="138"/>
      <c r="AX151" s="138"/>
      <c r="AY151" s="138"/>
      <c r="AZ151" s="138"/>
      <c r="BA151" s="138"/>
      <c r="BB151" s="138"/>
      <c r="BC151" s="138"/>
      <c r="BD151" s="138"/>
      <c r="BE151" s="139"/>
      <c r="BF151" s="1"/>
      <c r="BG151" s="1"/>
      <c r="BH151" s="1"/>
      <c r="BI151" s="1"/>
      <c r="BJ151" s="1"/>
      <c r="BK151" s="1"/>
      <c r="BL151" s="1"/>
      <c r="BM151" s="1"/>
      <c r="BN151" s="1"/>
      <c r="BO151" s="1"/>
      <c r="BP151" s="228"/>
      <c r="BQ151" s="229"/>
      <c r="BR151" s="229"/>
      <c r="BS151" s="229"/>
      <c r="BT151" s="229"/>
      <c r="BU151" s="229"/>
      <c r="BV151" s="229"/>
      <c r="BW151" s="229"/>
      <c r="BX151" s="229"/>
      <c r="BY151" s="229"/>
      <c r="BZ151" s="229"/>
      <c r="CA151" s="229"/>
      <c r="CB151" s="230"/>
      <c r="CC151" s="231"/>
      <c r="CD151" s="231"/>
      <c r="CE151" s="232"/>
      <c r="CF151" s="233"/>
      <c r="CG151" s="1"/>
    </row>
    <row r="152" spans="1:8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37"/>
      <c r="AQ152" s="138"/>
      <c r="AR152" s="138"/>
      <c r="AS152" s="138"/>
      <c r="AT152" s="138"/>
      <c r="AU152" s="138"/>
      <c r="AV152" s="138"/>
      <c r="AW152" s="138"/>
      <c r="AX152" s="138"/>
      <c r="AY152" s="138"/>
      <c r="AZ152" s="138"/>
      <c r="BA152" s="138"/>
      <c r="BB152" s="138"/>
      <c r="BC152" s="138"/>
      <c r="BD152" s="138"/>
      <c r="BE152" s="139"/>
      <c r="BF152" s="1"/>
      <c r="BG152" s="1"/>
      <c r="BH152" s="1"/>
      <c r="BI152" s="1"/>
      <c r="BJ152" s="1"/>
      <c r="BK152" s="1"/>
      <c r="BL152" s="1"/>
      <c r="BM152" s="1"/>
      <c r="BN152" s="1"/>
      <c r="BO152" s="1"/>
      <c r="BP152" s="234" t="s">
        <v>69</v>
      </c>
      <c r="BQ152" s="235"/>
      <c r="BR152" s="235"/>
      <c r="BS152" s="235"/>
      <c r="BT152" s="235"/>
      <c r="BU152" s="235"/>
      <c r="BV152" s="235"/>
      <c r="BW152" s="235"/>
      <c r="BX152" s="235"/>
      <c r="BY152" s="235"/>
      <c r="BZ152" s="235"/>
      <c r="CA152" s="235"/>
      <c r="CB152" s="236"/>
      <c r="CC152" s="196">
        <v>0</v>
      </c>
      <c r="CD152" s="196">
        <v>0</v>
      </c>
      <c r="CE152" s="197">
        <v>0</v>
      </c>
      <c r="CF152" s="198"/>
      <c r="CG152" s="1"/>
    </row>
    <row r="153" spans="1:8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87" t="s">
        <v>70</v>
      </c>
      <c r="AQ153" s="188"/>
      <c r="AR153" s="188"/>
      <c r="AS153" s="188"/>
      <c r="AT153" s="188"/>
      <c r="AU153" s="188"/>
      <c r="AV153" s="188"/>
      <c r="AW153" s="188"/>
      <c r="AX153" s="188"/>
      <c r="AY153" s="188"/>
      <c r="AZ153" s="188"/>
      <c r="BA153" s="188"/>
      <c r="BB153" s="188"/>
      <c r="BC153" s="188"/>
      <c r="BD153" s="188"/>
      <c r="BE153" s="189"/>
      <c r="BF153" s="1"/>
      <c r="BG153" s="1"/>
      <c r="BH153" s="1"/>
      <c r="BI153" s="1"/>
      <c r="BJ153" s="1"/>
      <c r="BK153" s="1"/>
      <c r="BL153" s="1"/>
      <c r="BM153" s="1"/>
      <c r="BN153" s="1"/>
      <c r="BO153" s="1"/>
      <c r="BP153" s="237"/>
      <c r="BQ153" s="238"/>
      <c r="BR153" s="238"/>
      <c r="BS153" s="238"/>
      <c r="BT153" s="238"/>
      <c r="BU153" s="238"/>
      <c r="BV153" s="238"/>
      <c r="BW153" s="238"/>
      <c r="BX153" s="238"/>
      <c r="BY153" s="238"/>
      <c r="BZ153" s="238"/>
      <c r="CA153" s="238"/>
      <c r="CB153" s="239"/>
      <c r="CC153" s="240"/>
      <c r="CD153" s="240"/>
      <c r="CE153" s="241"/>
      <c r="CF153" s="242"/>
      <c r="CG153" s="1"/>
    </row>
    <row r="154" spans="1:8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87"/>
      <c r="AQ154" s="3"/>
      <c r="AR154" s="3"/>
      <c r="AS154" s="3"/>
      <c r="AT154" s="3"/>
      <c r="AU154" s="3"/>
      <c r="AV154" s="3"/>
      <c r="AW154" s="3"/>
      <c r="AX154" s="3"/>
      <c r="AY154" s="3"/>
      <c r="AZ154" s="3"/>
      <c r="BA154" s="3"/>
      <c r="BB154" s="3"/>
      <c r="BC154" s="3"/>
      <c r="BD154" s="3"/>
      <c r="BE154" s="189"/>
      <c r="BF154" s="1"/>
      <c r="BG154" s="1"/>
      <c r="BH154" s="1"/>
      <c r="BI154" s="1"/>
      <c r="BJ154" s="1"/>
      <c r="BK154" s="1"/>
      <c r="BL154" s="1"/>
      <c r="BM154" s="1"/>
      <c r="BN154" s="1"/>
      <c r="BO154" s="1"/>
      <c r="BP154" s="243" t="s">
        <v>16</v>
      </c>
      <c r="BQ154" s="244"/>
      <c r="BR154" s="244"/>
      <c r="BS154" s="244"/>
      <c r="BT154" s="244"/>
      <c r="BU154" s="244"/>
      <c r="BV154" s="244"/>
      <c r="BW154" s="244"/>
      <c r="BX154" s="244"/>
      <c r="BY154" s="244"/>
      <c r="BZ154" s="244"/>
      <c r="CA154" s="244"/>
      <c r="CB154" s="245"/>
      <c r="CC154" s="202"/>
      <c r="CD154" s="202"/>
      <c r="CE154" s="203"/>
      <c r="CF154" s="204"/>
      <c r="CG154" s="1"/>
    </row>
    <row r="155" spans="1:8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87"/>
      <c r="AQ155" s="3"/>
      <c r="AR155" s="3"/>
      <c r="AS155" s="3"/>
      <c r="AT155" s="3"/>
      <c r="AU155" s="3"/>
      <c r="AV155" s="3"/>
      <c r="AW155" s="3"/>
      <c r="AX155" s="3"/>
      <c r="AY155" s="3"/>
      <c r="AZ155" s="3"/>
      <c r="BA155" s="3"/>
      <c r="BB155" s="3"/>
      <c r="BC155" s="3"/>
      <c r="BD155" s="3"/>
      <c r="BE155" s="189"/>
      <c r="BF155" s="1"/>
      <c r="BG155" s="1"/>
      <c r="BH155" s="1"/>
      <c r="BI155" s="1"/>
      <c r="BJ155" s="1"/>
      <c r="BK155" s="1"/>
      <c r="BL155" s="1"/>
      <c r="BM155" s="1"/>
      <c r="BN155" s="1"/>
      <c r="BO155" s="1"/>
      <c r="BP155" s="234" t="s">
        <v>71</v>
      </c>
      <c r="BQ155" s="235"/>
      <c r="BR155" s="235"/>
      <c r="BS155" s="235"/>
      <c r="BT155" s="235"/>
      <c r="BU155" s="235"/>
      <c r="BV155" s="235"/>
      <c r="BW155" s="235"/>
      <c r="BX155" s="235"/>
      <c r="BY155" s="235"/>
      <c r="BZ155" s="235"/>
      <c r="CA155" s="235"/>
      <c r="CB155" s="236"/>
      <c r="CC155" s="196">
        <v>0</v>
      </c>
      <c r="CD155" s="196">
        <v>0</v>
      </c>
      <c r="CE155" s="197">
        <v>0</v>
      </c>
      <c r="CF155" s="198"/>
      <c r="CG155" s="1"/>
    </row>
    <row r="156" spans="1:8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87"/>
      <c r="AQ156" s="188"/>
      <c r="AR156" s="188"/>
      <c r="AS156" s="188"/>
      <c r="AT156" s="188"/>
      <c r="AU156" s="188"/>
      <c r="AV156" s="188"/>
      <c r="AW156" s="188"/>
      <c r="AX156" s="188"/>
      <c r="AY156" s="188"/>
      <c r="AZ156" s="188"/>
      <c r="BA156" s="188"/>
      <c r="BB156" s="188"/>
      <c r="BC156" s="188"/>
      <c r="BD156" s="188"/>
      <c r="BE156" s="189"/>
      <c r="BF156" s="1"/>
      <c r="BG156" s="1"/>
      <c r="BH156" s="1"/>
      <c r="BI156" s="1"/>
      <c r="BJ156" s="1"/>
      <c r="BK156" s="1"/>
      <c r="BL156" s="1"/>
      <c r="BM156" s="1"/>
      <c r="BN156" s="1"/>
      <c r="BO156" s="1"/>
      <c r="BP156" s="246" t="s">
        <v>16</v>
      </c>
      <c r="BQ156" s="247"/>
      <c r="BR156" s="247"/>
      <c r="BS156" s="247"/>
      <c r="BT156" s="247"/>
      <c r="BU156" s="247"/>
      <c r="BV156" s="247"/>
      <c r="BW156" s="247"/>
      <c r="BX156" s="247"/>
      <c r="BY156" s="247"/>
      <c r="BZ156" s="247"/>
      <c r="CA156" s="247"/>
      <c r="CB156" s="248"/>
      <c r="CC156" s="240"/>
      <c r="CD156" s="240"/>
      <c r="CE156" s="241"/>
      <c r="CF156" s="242"/>
      <c r="CG156" s="1"/>
    </row>
    <row r="157" spans="1:8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37" t="s">
        <v>72</v>
      </c>
      <c r="AQ157" s="138"/>
      <c r="AR157" s="138"/>
      <c r="AS157" s="138"/>
      <c r="AT157" s="138"/>
      <c r="AU157" s="138"/>
      <c r="AV157" s="138"/>
      <c r="AW157" s="138"/>
      <c r="AX157" s="138"/>
      <c r="AY157" s="138"/>
      <c r="AZ157" s="138"/>
      <c r="BA157" s="138"/>
      <c r="BB157" s="138"/>
      <c r="BC157" s="138"/>
      <c r="BD157" s="138"/>
      <c r="BE157" s="139"/>
      <c r="BF157" s="1"/>
      <c r="BG157" s="1"/>
      <c r="BH157" s="1"/>
      <c r="BI157" s="1"/>
      <c r="BJ157" s="1"/>
      <c r="BK157" s="1"/>
      <c r="BL157" s="1"/>
      <c r="BM157" s="1"/>
      <c r="BN157" s="1"/>
      <c r="BO157" s="1"/>
      <c r="BP157" s="243"/>
      <c r="BQ157" s="244"/>
      <c r="BR157" s="244"/>
      <c r="BS157" s="244"/>
      <c r="BT157" s="244"/>
      <c r="BU157" s="244"/>
      <c r="BV157" s="244"/>
      <c r="BW157" s="244"/>
      <c r="BX157" s="244"/>
      <c r="BY157" s="244"/>
      <c r="BZ157" s="244"/>
      <c r="CA157" s="244"/>
      <c r="CB157" s="245"/>
      <c r="CC157" s="202"/>
      <c r="CD157" s="202"/>
      <c r="CE157" s="203"/>
      <c r="CF157" s="204"/>
      <c r="CG157" s="1"/>
    </row>
    <row r="158" spans="1:8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37"/>
      <c r="AQ158" s="138"/>
      <c r="AR158" s="138"/>
      <c r="AS158" s="138"/>
      <c r="AT158" s="138"/>
      <c r="AU158" s="138"/>
      <c r="AV158" s="138"/>
      <c r="AW158" s="138"/>
      <c r="AX158" s="138"/>
      <c r="AY158" s="138"/>
      <c r="AZ158" s="138"/>
      <c r="BA158" s="138"/>
      <c r="BB158" s="138"/>
      <c r="BC158" s="138"/>
      <c r="BD158" s="138"/>
      <c r="BE158" s="139"/>
      <c r="BF158" s="1"/>
      <c r="BG158" s="1"/>
      <c r="BH158" s="1"/>
      <c r="BI158" s="1"/>
      <c r="BJ158" s="1"/>
      <c r="BK158" s="1"/>
      <c r="BL158" s="1"/>
      <c r="BM158" s="1"/>
      <c r="BN158" s="1"/>
      <c r="BO158" s="1"/>
      <c r="BP158" s="249" t="s">
        <v>73</v>
      </c>
      <c r="BQ158" s="250"/>
      <c r="BR158" s="250"/>
      <c r="BS158" s="250"/>
      <c r="BT158" s="250"/>
      <c r="BU158" s="250"/>
      <c r="BV158" s="250"/>
      <c r="BW158" s="250"/>
      <c r="BX158" s="250"/>
      <c r="BY158" s="250"/>
      <c r="BZ158" s="250"/>
      <c r="CA158" s="250"/>
      <c r="CB158" s="251"/>
      <c r="CC158" s="196">
        <v>0</v>
      </c>
      <c r="CD158" s="196">
        <v>0</v>
      </c>
      <c r="CE158" s="197">
        <v>0</v>
      </c>
      <c r="CF158" s="198"/>
      <c r="CG158" s="1"/>
    </row>
    <row r="159" spans="1:8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87" t="s">
        <v>74</v>
      </c>
      <c r="AQ159" s="188"/>
      <c r="AR159" s="188"/>
      <c r="AS159" s="188"/>
      <c r="AT159" s="188"/>
      <c r="AU159" s="188"/>
      <c r="AV159" s="188"/>
      <c r="AW159" s="188"/>
      <c r="AX159" s="188"/>
      <c r="AY159" s="188"/>
      <c r="AZ159" s="188"/>
      <c r="BA159" s="188"/>
      <c r="BB159" s="188"/>
      <c r="BC159" s="188"/>
      <c r="BD159" s="188"/>
      <c r="BE159" s="189"/>
      <c r="BF159" s="1"/>
      <c r="BG159" s="1"/>
      <c r="BH159" s="1"/>
      <c r="BI159" s="1"/>
      <c r="BJ159" s="1"/>
      <c r="BK159" s="1"/>
      <c r="BL159" s="1"/>
      <c r="BM159" s="1"/>
      <c r="BN159" s="1"/>
      <c r="BO159" s="1"/>
      <c r="BP159" s="252"/>
      <c r="BQ159" s="253"/>
      <c r="BR159" s="253"/>
      <c r="BS159" s="253"/>
      <c r="BT159" s="253"/>
      <c r="BU159" s="253"/>
      <c r="BV159" s="253"/>
      <c r="BW159" s="253"/>
      <c r="BX159" s="253"/>
      <c r="BY159" s="253"/>
      <c r="BZ159" s="253"/>
      <c r="CA159" s="253"/>
      <c r="CB159" s="254"/>
      <c r="CC159" s="202"/>
      <c r="CD159" s="202"/>
      <c r="CE159" s="203"/>
      <c r="CF159" s="204"/>
      <c r="CG159" s="1"/>
    </row>
    <row r="160" spans="1:8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87"/>
      <c r="AQ160" s="3"/>
      <c r="AR160" s="3"/>
      <c r="AS160" s="3"/>
      <c r="AT160" s="3"/>
      <c r="AU160" s="3"/>
      <c r="AV160" s="3"/>
      <c r="AW160" s="3"/>
      <c r="AX160" s="3"/>
      <c r="AY160" s="3"/>
      <c r="AZ160" s="3"/>
      <c r="BA160" s="3"/>
      <c r="BB160" s="3"/>
      <c r="BC160" s="3"/>
      <c r="BD160" s="3"/>
      <c r="BE160" s="189"/>
      <c r="BF160" s="1"/>
      <c r="BG160" s="1"/>
      <c r="BH160" s="1"/>
      <c r="BI160" s="1"/>
      <c r="BJ160" s="1"/>
      <c r="BK160" s="1"/>
      <c r="BL160" s="1"/>
      <c r="BM160" s="1"/>
      <c r="BN160" s="1"/>
      <c r="BO160" s="1"/>
      <c r="BP160" s="252" t="s">
        <v>75</v>
      </c>
      <c r="BQ160" s="253"/>
      <c r="BR160" s="253"/>
      <c r="BS160" s="253"/>
      <c r="BT160" s="253"/>
      <c r="BU160" s="253"/>
      <c r="BV160" s="253"/>
      <c r="BW160" s="253"/>
      <c r="BX160" s="253"/>
      <c r="BY160" s="253"/>
      <c r="BZ160" s="253"/>
      <c r="CA160" s="253"/>
      <c r="CB160" s="254"/>
      <c r="CC160" s="219">
        <v>0</v>
      </c>
      <c r="CD160" s="219">
        <v>0</v>
      </c>
      <c r="CE160" s="220">
        <v>0</v>
      </c>
      <c r="CF160" s="221"/>
      <c r="CG160" s="1"/>
    </row>
    <row r="161" spans="1:8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87"/>
      <c r="AQ161" s="188"/>
      <c r="AR161" s="188"/>
      <c r="AS161" s="188"/>
      <c r="AT161" s="188"/>
      <c r="AU161" s="188"/>
      <c r="AV161" s="188"/>
      <c r="AW161" s="188"/>
      <c r="AX161" s="188"/>
      <c r="AY161" s="188"/>
      <c r="AZ161" s="188"/>
      <c r="BA161" s="188"/>
      <c r="BB161" s="188"/>
      <c r="BC161" s="188"/>
      <c r="BD161" s="188"/>
      <c r="BE161" s="189"/>
      <c r="BF161" s="1"/>
      <c r="BG161" s="1"/>
      <c r="BH161" s="1"/>
      <c r="BI161" s="1"/>
      <c r="BJ161" s="1"/>
      <c r="BK161" s="1"/>
      <c r="BL161" s="1"/>
      <c r="BM161" s="1"/>
      <c r="BN161" s="1"/>
      <c r="BO161" s="1"/>
      <c r="BP161" s="249" t="s">
        <v>76</v>
      </c>
      <c r="BQ161" s="250"/>
      <c r="BR161" s="250"/>
      <c r="BS161" s="250"/>
      <c r="BT161" s="250"/>
      <c r="BU161" s="250"/>
      <c r="BV161" s="250"/>
      <c r="BW161" s="250"/>
      <c r="BX161" s="250"/>
      <c r="BY161" s="250"/>
      <c r="BZ161" s="250"/>
      <c r="CA161" s="250"/>
      <c r="CB161" s="251"/>
      <c r="CC161" s="196">
        <v>0</v>
      </c>
      <c r="CD161" s="196">
        <v>0</v>
      </c>
      <c r="CE161" s="197">
        <v>0</v>
      </c>
      <c r="CF161" s="198"/>
      <c r="CG161" s="1"/>
    </row>
    <row r="162" spans="1:8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37" t="s">
        <v>77</v>
      </c>
      <c r="AQ162" s="138"/>
      <c r="AR162" s="138"/>
      <c r="AS162" s="138"/>
      <c r="AT162" s="138"/>
      <c r="AU162" s="138"/>
      <c r="AV162" s="138"/>
      <c r="AW162" s="138"/>
      <c r="AX162" s="138"/>
      <c r="AY162" s="138"/>
      <c r="AZ162" s="138"/>
      <c r="BA162" s="138"/>
      <c r="BB162" s="138"/>
      <c r="BC162" s="138"/>
      <c r="BD162" s="138"/>
      <c r="BE162" s="139"/>
      <c r="BF162" s="1"/>
      <c r="BG162" s="1"/>
      <c r="BH162" s="1"/>
      <c r="BI162" s="1"/>
      <c r="BJ162" s="1"/>
      <c r="BK162" s="1"/>
      <c r="BL162" s="1"/>
      <c r="BM162" s="1"/>
      <c r="BN162" s="1"/>
      <c r="BO162" s="1"/>
      <c r="BP162" s="249"/>
      <c r="BQ162" s="3"/>
      <c r="BR162" s="3"/>
      <c r="BS162" s="3"/>
      <c r="BT162" s="3"/>
      <c r="BU162" s="3"/>
      <c r="BV162" s="3"/>
      <c r="BW162" s="3"/>
      <c r="BX162" s="3"/>
      <c r="BY162" s="3"/>
      <c r="BZ162" s="3"/>
      <c r="CA162" s="3"/>
      <c r="CB162" s="251"/>
      <c r="CC162" s="240"/>
      <c r="CD162" s="240"/>
      <c r="CE162" s="241"/>
      <c r="CF162" s="242"/>
      <c r="CG162" s="1"/>
    </row>
    <row r="163" spans="1:8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87" t="s">
        <v>78</v>
      </c>
      <c r="AQ163" s="188"/>
      <c r="AR163" s="188"/>
      <c r="AS163" s="188"/>
      <c r="AT163" s="188"/>
      <c r="AU163" s="188"/>
      <c r="AV163" s="188"/>
      <c r="AW163" s="188"/>
      <c r="AX163" s="188"/>
      <c r="AY163" s="188"/>
      <c r="AZ163" s="188"/>
      <c r="BA163" s="188"/>
      <c r="BB163" s="188"/>
      <c r="BC163" s="188"/>
      <c r="BD163" s="188"/>
      <c r="BE163" s="189"/>
      <c r="BF163" s="1"/>
      <c r="BG163" s="1"/>
      <c r="BH163" s="1"/>
      <c r="BI163" s="1"/>
      <c r="BJ163" s="1"/>
      <c r="BK163" s="1"/>
      <c r="BL163" s="1"/>
      <c r="BM163" s="1"/>
      <c r="BN163" s="1"/>
      <c r="BO163" s="1"/>
      <c r="BP163" s="252"/>
      <c r="BQ163" s="253"/>
      <c r="BR163" s="253"/>
      <c r="BS163" s="253"/>
      <c r="BT163" s="253"/>
      <c r="BU163" s="253"/>
      <c r="BV163" s="253"/>
      <c r="BW163" s="253"/>
      <c r="BX163" s="253"/>
      <c r="BY163" s="253"/>
      <c r="BZ163" s="253"/>
      <c r="CA163" s="253"/>
      <c r="CB163" s="254"/>
      <c r="CC163" s="202"/>
      <c r="CD163" s="202"/>
      <c r="CE163" s="203"/>
      <c r="CF163" s="204"/>
      <c r="CG163" s="1"/>
    </row>
    <row r="164" spans="1:8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87"/>
      <c r="AQ164" s="3"/>
      <c r="AR164" s="3"/>
      <c r="AS164" s="3"/>
      <c r="AT164" s="3"/>
      <c r="AU164" s="3"/>
      <c r="AV164" s="3"/>
      <c r="AW164" s="3"/>
      <c r="AX164" s="3"/>
      <c r="AY164" s="3"/>
      <c r="AZ164" s="3"/>
      <c r="BA164" s="3"/>
      <c r="BB164" s="3"/>
      <c r="BC164" s="3"/>
      <c r="BD164" s="3"/>
      <c r="BE164" s="189"/>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row>
    <row r="165" spans="1:8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87"/>
      <c r="AQ165" s="188"/>
      <c r="AR165" s="188"/>
      <c r="AS165" s="188"/>
      <c r="AT165" s="188"/>
      <c r="AU165" s="188"/>
      <c r="AV165" s="188"/>
      <c r="AW165" s="188"/>
      <c r="AX165" s="188"/>
      <c r="AY165" s="188"/>
      <c r="AZ165" s="188"/>
      <c r="BA165" s="188"/>
      <c r="BB165" s="188"/>
      <c r="BC165" s="188"/>
      <c r="BD165" s="188"/>
      <c r="BE165" s="189"/>
      <c r="BF165" s="1"/>
      <c r="BG165" s="1"/>
      <c r="BH165" s="1"/>
      <c r="BI165" s="1"/>
      <c r="BJ165" s="1"/>
      <c r="BK165" s="1"/>
      <c r="BL165" s="1"/>
      <c r="BM165" s="1"/>
      <c r="BN165" s="1"/>
      <c r="BO165" s="1"/>
      <c r="BP165" s="255" t="s">
        <v>79</v>
      </c>
      <c r="BQ165" s="3"/>
      <c r="BR165" s="3"/>
      <c r="BS165" s="3"/>
      <c r="BT165" s="3"/>
      <c r="BU165" s="3"/>
      <c r="BV165" s="3"/>
      <c r="BW165" s="3"/>
      <c r="BX165" s="3"/>
      <c r="BY165" s="3"/>
      <c r="BZ165" s="3"/>
      <c r="CA165" s="3"/>
      <c r="CB165" s="3"/>
      <c r="CC165" s="3"/>
      <c r="CD165" s="3"/>
      <c r="CE165" s="3"/>
      <c r="CF165" s="3"/>
      <c r="CG165" s="1"/>
    </row>
    <row r="166" spans="1:8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256" t="s">
        <v>80</v>
      </c>
      <c r="AQ166" s="257"/>
      <c r="AR166" s="257"/>
      <c r="AS166" s="257"/>
      <c r="AT166" s="257"/>
      <c r="AU166" s="257"/>
      <c r="AV166" s="257"/>
      <c r="AW166" s="257"/>
      <c r="AX166" s="257"/>
      <c r="AY166" s="257"/>
      <c r="AZ166" s="257"/>
      <c r="BA166" s="257"/>
      <c r="BB166" s="257"/>
      <c r="BC166" s="257"/>
      <c r="BD166" s="257"/>
      <c r="BE166" s="258"/>
      <c r="BF166" s="1"/>
      <c r="BG166" s="1"/>
      <c r="BH166" s="1"/>
      <c r="BI166" s="1"/>
      <c r="BJ166" s="1"/>
      <c r="BK166" s="1"/>
      <c r="BL166" s="1"/>
      <c r="BM166" s="1"/>
      <c r="BN166" s="1"/>
      <c r="BO166" s="1"/>
      <c r="BP166" s="3"/>
      <c r="BQ166" s="3"/>
      <c r="BR166" s="3"/>
      <c r="BS166" s="3"/>
      <c r="BT166" s="3"/>
      <c r="BU166" s="3"/>
      <c r="BV166" s="3"/>
      <c r="BW166" s="3"/>
      <c r="BX166" s="3"/>
      <c r="BY166" s="3"/>
      <c r="BZ166" s="3"/>
      <c r="CA166" s="3"/>
      <c r="CB166" s="3"/>
      <c r="CC166" s="3"/>
      <c r="CD166" s="3"/>
      <c r="CE166" s="3"/>
      <c r="CF166" s="3"/>
      <c r="CG166" s="1"/>
    </row>
    <row r="167" spans="1:8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259"/>
      <c r="AQ167" s="260"/>
      <c r="AR167" s="260"/>
      <c r="AS167" s="260"/>
      <c r="AT167" s="260"/>
      <c r="AU167" s="260"/>
      <c r="AV167" s="260"/>
      <c r="AW167" s="260"/>
      <c r="AX167" s="260"/>
      <c r="AY167" s="260"/>
      <c r="AZ167" s="260"/>
      <c r="BA167" s="260"/>
      <c r="BB167" s="260"/>
      <c r="BC167" s="260"/>
      <c r="BD167" s="260"/>
      <c r="BE167" s="26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row>
    <row r="168" spans="1:85">
      <c r="A168" s="262"/>
      <c r="B168" s="262"/>
      <c r="C168" s="262"/>
      <c r="D168" s="262"/>
      <c r="E168" s="262"/>
      <c r="F168" s="262"/>
      <c r="G168" s="262"/>
      <c r="H168" s="262"/>
      <c r="I168" s="262"/>
      <c r="J168" s="262"/>
      <c r="K168" s="262"/>
      <c r="L168" s="262"/>
      <c r="M168" s="262"/>
      <c r="N168" s="262"/>
      <c r="O168" s="262"/>
      <c r="P168" s="262"/>
      <c r="Q168" s="262"/>
      <c r="R168" s="262"/>
      <c r="S168" s="262"/>
      <c r="T168" s="262"/>
      <c r="U168" s="262"/>
      <c r="V168" s="262"/>
      <c r="W168" s="262"/>
      <c r="X168" s="262"/>
      <c r="Y168" s="262"/>
      <c r="Z168" s="262"/>
      <c r="AA168" s="262"/>
      <c r="AB168" s="262"/>
      <c r="AC168" s="262"/>
      <c r="AD168" s="262"/>
      <c r="AE168" s="262"/>
      <c r="AF168" s="262"/>
      <c r="AG168" s="262"/>
      <c r="AH168" s="262"/>
      <c r="AI168" s="262"/>
      <c r="AJ168" s="262"/>
      <c r="AK168" s="262"/>
      <c r="AL168" s="262"/>
      <c r="AM168" s="262"/>
      <c r="AN168" s="262"/>
      <c r="AO168" s="262"/>
      <c r="AP168" s="262"/>
      <c r="AQ168" s="262"/>
      <c r="AR168" s="262"/>
      <c r="AS168" s="262"/>
      <c r="AT168" s="262"/>
      <c r="AU168" s="262"/>
      <c r="AV168" s="262"/>
      <c r="AW168" s="262"/>
      <c r="AX168" s="262"/>
      <c r="AY168" s="262"/>
      <c r="AZ168" s="262"/>
      <c r="BA168" s="262"/>
      <c r="BB168" s="262"/>
      <c r="BC168" s="262"/>
      <c r="BD168" s="262"/>
      <c r="BE168" s="262"/>
      <c r="BF168" s="262"/>
      <c r="BG168" s="262"/>
      <c r="BH168" s="262"/>
      <c r="BI168" s="262"/>
      <c r="BJ168" s="262"/>
      <c r="BK168" s="262"/>
      <c r="BL168" s="262"/>
      <c r="BM168" s="262"/>
      <c r="BN168" s="262"/>
      <c r="BO168" s="262"/>
      <c r="BP168" s="262"/>
      <c r="BQ168" s="262"/>
      <c r="BR168" s="263" t="str">
        <f>[1]INPUT_Homeroom_Data!A30</f>
        <v>ADVISER:</v>
      </c>
      <c r="BS168" s="264"/>
      <c r="BT168" s="264"/>
      <c r="BU168" s="264"/>
      <c r="BV168" s="264"/>
      <c r="BW168" s="264"/>
      <c r="BX168" s="264"/>
      <c r="BY168" s="264"/>
      <c r="BZ168" s="264"/>
      <c r="CA168" s="264"/>
      <c r="CB168" s="264"/>
      <c r="CC168" s="264"/>
      <c r="CD168" s="264"/>
      <c r="CE168" s="264"/>
      <c r="CF168" s="264"/>
      <c r="CG168" s="262"/>
    </row>
    <row r="169" spans="1:85">
      <c r="A169" s="262"/>
      <c r="B169" s="262"/>
      <c r="C169" s="262"/>
      <c r="D169" s="262"/>
      <c r="E169" s="262"/>
      <c r="F169" s="262"/>
      <c r="G169" s="262"/>
      <c r="H169" s="262"/>
      <c r="I169" s="262"/>
      <c r="J169" s="262"/>
      <c r="K169" s="262"/>
      <c r="L169" s="262"/>
      <c r="M169" s="262"/>
      <c r="N169" s="262"/>
      <c r="O169" s="262"/>
      <c r="P169" s="262"/>
      <c r="Q169" s="262"/>
      <c r="R169" s="262"/>
      <c r="S169" s="262"/>
      <c r="T169" s="262"/>
      <c r="U169" s="262"/>
      <c r="V169" s="262"/>
      <c r="W169" s="262"/>
      <c r="X169" s="262"/>
      <c r="Y169" s="262"/>
      <c r="Z169" s="262"/>
      <c r="AA169" s="262"/>
      <c r="AB169" s="262"/>
      <c r="AC169" s="262"/>
      <c r="AD169" s="262"/>
      <c r="AE169" s="262"/>
      <c r="AF169" s="262"/>
      <c r="AG169" s="262"/>
      <c r="AH169" s="262"/>
      <c r="AI169" s="262"/>
      <c r="AJ169" s="262"/>
      <c r="AK169" s="262"/>
      <c r="AL169" s="262"/>
      <c r="AM169" s="262"/>
      <c r="AN169" s="262"/>
      <c r="AO169" s="262"/>
      <c r="AP169" s="262"/>
      <c r="AQ169" s="262"/>
      <c r="AR169" s="262"/>
      <c r="AS169" s="262"/>
      <c r="AT169" s="262"/>
      <c r="AU169" s="262"/>
      <c r="AV169" s="262"/>
      <c r="AW169" s="262"/>
      <c r="AX169" s="262"/>
      <c r="AY169" s="262"/>
      <c r="AZ169" s="262"/>
      <c r="BA169" s="262"/>
      <c r="BB169" s="262"/>
      <c r="BC169" s="262"/>
      <c r="BD169" s="262"/>
      <c r="BE169" s="262"/>
      <c r="BF169" s="262"/>
      <c r="BG169" s="262"/>
      <c r="BH169" s="262"/>
      <c r="BI169" s="262"/>
      <c r="BJ169" s="262"/>
      <c r="BK169" s="262"/>
      <c r="BL169" s="262"/>
      <c r="BM169" s="262"/>
      <c r="BN169" s="262"/>
      <c r="BO169" s="262"/>
      <c r="BP169" s="262"/>
      <c r="BQ169" s="262"/>
      <c r="BR169" s="265" t="s">
        <v>81</v>
      </c>
      <c r="BS169" s="265"/>
      <c r="BT169" s="265"/>
      <c r="BU169" s="265"/>
      <c r="BV169" s="265"/>
      <c r="BW169" s="265"/>
      <c r="BX169" s="265"/>
      <c r="BY169" s="265"/>
      <c r="BZ169" s="265"/>
      <c r="CA169" s="265"/>
      <c r="CB169" s="265"/>
      <c r="CC169" s="265"/>
      <c r="CD169" s="265"/>
      <c r="CE169" s="265"/>
      <c r="CF169" s="265"/>
      <c r="CG169" s="262"/>
    </row>
    <row r="170" spans="1:85" ht="15.75" thickBot="1">
      <c r="A170" s="262"/>
      <c r="B170" s="262"/>
      <c r="C170" s="262"/>
      <c r="D170" s="262"/>
      <c r="E170" s="262"/>
      <c r="F170" s="262"/>
      <c r="G170" s="262"/>
      <c r="H170" s="262"/>
      <c r="I170" s="262"/>
      <c r="J170" s="262"/>
      <c r="K170" s="262"/>
      <c r="L170" s="262"/>
      <c r="M170" s="262"/>
      <c r="N170" s="262"/>
      <c r="O170" s="262"/>
      <c r="P170" s="262"/>
      <c r="Q170" s="262"/>
      <c r="R170" s="262"/>
      <c r="S170" s="262"/>
      <c r="T170" s="262"/>
      <c r="U170" s="262"/>
      <c r="V170" s="262"/>
      <c r="W170" s="262"/>
      <c r="X170" s="262"/>
      <c r="Y170" s="262"/>
      <c r="Z170" s="262"/>
      <c r="AA170" s="262"/>
      <c r="AB170" s="262"/>
      <c r="AC170" s="262"/>
      <c r="AD170" s="262"/>
      <c r="AE170" s="262"/>
      <c r="AF170" s="262"/>
      <c r="AG170" s="262"/>
      <c r="AH170" s="262"/>
      <c r="AI170" s="262"/>
      <c r="AJ170" s="262"/>
      <c r="AK170" s="262"/>
      <c r="AL170" s="262"/>
      <c r="AM170" s="262"/>
      <c r="AN170" s="262"/>
      <c r="AO170" s="262"/>
      <c r="AP170" s="262"/>
      <c r="AQ170" s="262"/>
      <c r="AR170" s="262"/>
      <c r="AS170" s="262"/>
      <c r="AT170" s="262"/>
      <c r="AU170" s="262"/>
      <c r="AV170" s="262"/>
      <c r="AW170" s="262"/>
      <c r="AX170" s="262"/>
      <c r="AY170" s="262"/>
      <c r="AZ170" s="262"/>
      <c r="BA170" s="262"/>
      <c r="BB170" s="262"/>
      <c r="BC170" s="262"/>
      <c r="BD170" s="262"/>
      <c r="BE170" s="262"/>
      <c r="BF170" s="262"/>
      <c r="BG170" s="262"/>
      <c r="BH170" s="262"/>
      <c r="BI170" s="262"/>
      <c r="BJ170" s="262"/>
      <c r="BK170" s="262"/>
      <c r="BL170" s="262"/>
      <c r="BM170" s="262"/>
      <c r="BN170" s="262"/>
      <c r="BO170" s="262"/>
      <c r="BP170" s="266" t="s">
        <v>82</v>
      </c>
      <c r="BQ170" s="267"/>
      <c r="BR170" s="267"/>
      <c r="BS170" s="267"/>
      <c r="BT170" s="267"/>
      <c r="BU170" s="267"/>
      <c r="BV170" s="267"/>
      <c r="BW170" s="267"/>
      <c r="BX170" s="267"/>
      <c r="BY170" s="267"/>
      <c r="BZ170" s="267"/>
      <c r="CA170" s="267"/>
      <c r="CB170" s="267"/>
      <c r="CC170" s="267"/>
      <c r="CD170" s="267"/>
      <c r="CE170" s="267"/>
      <c r="CF170" s="267"/>
      <c r="CG170" s="262"/>
    </row>
    <row r="171" spans="1:85">
      <c r="A171" s="262"/>
      <c r="B171" s="262"/>
      <c r="C171" s="262"/>
      <c r="D171" s="262"/>
      <c r="E171" s="262"/>
      <c r="F171" s="262"/>
      <c r="G171" s="262"/>
      <c r="H171" s="262"/>
      <c r="I171" s="262"/>
      <c r="J171" s="262"/>
      <c r="K171" s="262"/>
      <c r="L171" s="262"/>
      <c r="M171" s="262"/>
      <c r="N171" s="262"/>
      <c r="O171" s="262"/>
      <c r="P171" s="262"/>
      <c r="Q171" s="262"/>
      <c r="R171" s="262"/>
      <c r="S171" s="262"/>
      <c r="T171" s="262"/>
      <c r="U171" s="262"/>
      <c r="V171" s="262"/>
      <c r="W171" s="262"/>
      <c r="X171" s="262"/>
      <c r="Y171" s="262"/>
      <c r="Z171" s="262"/>
      <c r="AA171" s="262"/>
      <c r="AB171" s="262"/>
      <c r="AC171" s="262"/>
      <c r="AD171" s="262"/>
      <c r="AE171" s="262"/>
      <c r="AF171" s="262"/>
      <c r="AG171" s="262"/>
      <c r="AH171" s="262"/>
      <c r="AI171" s="262"/>
      <c r="AJ171" s="262"/>
      <c r="AK171" s="262"/>
      <c r="AL171" s="262"/>
      <c r="AM171" s="262"/>
      <c r="AN171" s="262"/>
      <c r="AO171" s="262"/>
      <c r="AP171" s="268" t="s">
        <v>83</v>
      </c>
      <c r="AQ171" s="268"/>
      <c r="AR171" s="268"/>
      <c r="AS171" s="268"/>
      <c r="AT171" s="268"/>
      <c r="AU171" s="268"/>
      <c r="AV171" s="268"/>
      <c r="AW171" s="268"/>
      <c r="AX171" s="268"/>
      <c r="AY171" s="268"/>
      <c r="AZ171" s="268"/>
      <c r="BA171" s="268"/>
      <c r="BB171" s="268"/>
      <c r="BC171" s="268"/>
      <c r="BD171" s="268"/>
      <c r="BE171" s="268"/>
      <c r="BF171" s="262"/>
      <c r="BG171" s="262"/>
      <c r="BH171" s="262"/>
      <c r="BI171" s="262"/>
      <c r="BJ171" s="262"/>
      <c r="BK171" s="262"/>
      <c r="BL171" s="262"/>
      <c r="BM171" s="262"/>
      <c r="BN171" s="262"/>
      <c r="BO171" s="262"/>
      <c r="BP171" s="262"/>
      <c r="BQ171" s="262"/>
      <c r="BR171" s="263" t="str">
        <f>[1]INPUT_Homeroom_Data!A34</f>
        <v>NAME OF PRINCIPAL:</v>
      </c>
      <c r="BS171" s="264"/>
      <c r="BT171" s="264"/>
      <c r="BU171" s="264"/>
      <c r="BV171" s="264"/>
      <c r="BW171" s="264"/>
      <c r="BX171" s="264"/>
      <c r="BY171" s="264"/>
      <c r="BZ171" s="264"/>
      <c r="CA171" s="264"/>
      <c r="CB171" s="264"/>
      <c r="CC171" s="264"/>
      <c r="CD171" s="264"/>
      <c r="CE171" s="264"/>
      <c r="CF171" s="264"/>
      <c r="CG171" s="262"/>
    </row>
    <row r="172" spans="1:85">
      <c r="A172" s="262"/>
      <c r="B172" s="262"/>
      <c r="C172" s="262"/>
      <c r="D172" s="262"/>
      <c r="E172" s="262"/>
      <c r="F172" s="262"/>
      <c r="G172" s="262"/>
      <c r="H172" s="262"/>
      <c r="I172" s="262"/>
      <c r="J172" s="262"/>
      <c r="K172" s="262"/>
      <c r="L172" s="262"/>
      <c r="M172" s="262"/>
      <c r="N172" s="262"/>
      <c r="O172" s="262"/>
      <c r="P172" s="262"/>
      <c r="Q172" s="262"/>
      <c r="R172" s="262"/>
      <c r="S172" s="262"/>
      <c r="T172" s="262"/>
      <c r="U172" s="262"/>
      <c r="V172" s="262"/>
      <c r="W172" s="262"/>
      <c r="X172" s="262"/>
      <c r="Y172" s="262"/>
      <c r="Z172" s="262"/>
      <c r="AA172" s="262"/>
      <c r="AB172" s="262"/>
      <c r="AC172" s="262"/>
      <c r="AD172" s="262"/>
      <c r="AE172" s="262"/>
      <c r="AF172" s="262"/>
      <c r="AG172" s="262"/>
      <c r="AH172" s="262"/>
      <c r="AI172" s="262"/>
      <c r="AJ172" s="262"/>
      <c r="AK172" s="262"/>
      <c r="AL172" s="262"/>
      <c r="AM172" s="262"/>
      <c r="AN172" s="262"/>
      <c r="AO172" s="262"/>
      <c r="AP172" s="269"/>
      <c r="AQ172" s="269"/>
      <c r="AR172" s="269"/>
      <c r="AS172" s="269"/>
      <c r="AT172" s="269"/>
      <c r="AU172" s="269"/>
      <c r="AV172" s="269"/>
      <c r="AW172" s="269"/>
      <c r="AX172" s="269"/>
      <c r="AY172" s="269"/>
      <c r="AZ172" s="269"/>
      <c r="BA172" s="269"/>
      <c r="BB172" s="269"/>
      <c r="BC172" s="269"/>
      <c r="BD172" s="269"/>
      <c r="BE172" s="269"/>
      <c r="BF172" s="262"/>
      <c r="BG172" s="262"/>
      <c r="BH172" s="262"/>
      <c r="BI172" s="262"/>
      <c r="BJ172" s="262"/>
      <c r="BK172" s="262"/>
      <c r="BL172" s="262"/>
      <c r="BM172" s="262"/>
      <c r="BN172" s="262"/>
      <c r="BO172" s="262"/>
      <c r="BP172" s="262"/>
      <c r="BQ172" s="262"/>
      <c r="BR172" s="270" t="s">
        <v>84</v>
      </c>
      <c r="BS172" s="270"/>
      <c r="BT172" s="270"/>
      <c r="BU172" s="270"/>
      <c r="BV172" s="270"/>
      <c r="BW172" s="270"/>
      <c r="BX172" s="270"/>
      <c r="BY172" s="270"/>
      <c r="BZ172" s="270"/>
      <c r="CA172" s="270"/>
      <c r="CB172" s="270"/>
      <c r="CC172" s="270"/>
      <c r="CD172" s="270"/>
      <c r="CE172" s="270"/>
      <c r="CF172" s="270"/>
      <c r="CG172" s="262"/>
    </row>
  </sheetData>
  <mergeCells count="2764">
    <mergeCell ref="BR168:CF168"/>
    <mergeCell ref="BR169:CF169"/>
    <mergeCell ref="BP170:CF170"/>
    <mergeCell ref="AP171:BE172"/>
    <mergeCell ref="BR171:CF171"/>
    <mergeCell ref="BR172:CF172"/>
    <mergeCell ref="CC161:CC163"/>
    <mergeCell ref="CD161:CD163"/>
    <mergeCell ref="CE161:CF163"/>
    <mergeCell ref="AP162:BE162"/>
    <mergeCell ref="AP163:BE165"/>
    <mergeCell ref="BP165:CF166"/>
    <mergeCell ref="AP166:BE167"/>
    <mergeCell ref="BP156:CB157"/>
    <mergeCell ref="AP157:BE158"/>
    <mergeCell ref="BP158:CB159"/>
    <mergeCell ref="CC158:CC159"/>
    <mergeCell ref="CD158:CD159"/>
    <mergeCell ref="CE158:CF159"/>
    <mergeCell ref="AP159:BE161"/>
    <mergeCell ref="BP160:CB160"/>
    <mergeCell ref="CE160:CF160"/>
    <mergeCell ref="BP161:CB163"/>
    <mergeCell ref="BP152:CB153"/>
    <mergeCell ref="CC152:CC154"/>
    <mergeCell ref="CD152:CD154"/>
    <mergeCell ref="CE152:CF154"/>
    <mergeCell ref="AP153:BE156"/>
    <mergeCell ref="BP154:CB154"/>
    <mergeCell ref="BP155:CB155"/>
    <mergeCell ref="CC155:CC157"/>
    <mergeCell ref="CD155:CD157"/>
    <mergeCell ref="CE155:CF157"/>
    <mergeCell ref="A147:AN150"/>
    <mergeCell ref="BP148:CB148"/>
    <mergeCell ref="CE148:CF148"/>
    <mergeCell ref="BP149:CB149"/>
    <mergeCell ref="CE149:CF149"/>
    <mergeCell ref="BP150:CB151"/>
    <mergeCell ref="CC150:CC151"/>
    <mergeCell ref="CD150:CD151"/>
    <mergeCell ref="CE150:CF151"/>
    <mergeCell ref="AP151:BE152"/>
    <mergeCell ref="CD144:CD145"/>
    <mergeCell ref="CE144:CF145"/>
    <mergeCell ref="L145:AG145"/>
    <mergeCell ref="AP145:BE145"/>
    <mergeCell ref="BP145:CB145"/>
    <mergeCell ref="AP146:BE150"/>
    <mergeCell ref="BP146:CB147"/>
    <mergeCell ref="CC146:CC147"/>
    <mergeCell ref="CD146:CD147"/>
    <mergeCell ref="CE146:CF147"/>
    <mergeCell ref="CC142:CC143"/>
    <mergeCell ref="CD142:CD143"/>
    <mergeCell ref="CE142:CF143"/>
    <mergeCell ref="L143:AG143"/>
    <mergeCell ref="BP143:CB143"/>
    <mergeCell ref="F144:K145"/>
    <mergeCell ref="L144:AG144"/>
    <mergeCell ref="AH144:AL145"/>
    <mergeCell ref="BP144:CB144"/>
    <mergeCell ref="CC144:CC145"/>
    <mergeCell ref="F139:K141"/>
    <mergeCell ref="L139:AG140"/>
    <mergeCell ref="AH139:AL141"/>
    <mergeCell ref="AP139:BE140"/>
    <mergeCell ref="BP140:CB141"/>
    <mergeCell ref="L141:AG141"/>
    <mergeCell ref="AP141:BE144"/>
    <mergeCell ref="F142:K143"/>
    <mergeCell ref="L142:AG142"/>
    <mergeCell ref="BP142:CB142"/>
    <mergeCell ref="BP135:CB136"/>
    <mergeCell ref="CC135:CC136"/>
    <mergeCell ref="CD135:CD136"/>
    <mergeCell ref="CE135:CF136"/>
    <mergeCell ref="AP136:BE138"/>
    <mergeCell ref="CC137:CC141"/>
    <mergeCell ref="CD137:CD141"/>
    <mergeCell ref="CE137:CF141"/>
    <mergeCell ref="BP138:BT139"/>
    <mergeCell ref="BU138:CB139"/>
    <mergeCell ref="AP132:BE133"/>
    <mergeCell ref="BP132:BV133"/>
    <mergeCell ref="BW132:CB133"/>
    <mergeCell ref="CC132:CF133"/>
    <mergeCell ref="A134:AN138"/>
    <mergeCell ref="AP134:BE135"/>
    <mergeCell ref="BP134:BV134"/>
    <mergeCell ref="BW134:BY134"/>
    <mergeCell ref="BZ134:CB134"/>
    <mergeCell ref="CE134:CF134"/>
    <mergeCell ref="BK131:BL131"/>
    <mergeCell ref="BM131:BN131"/>
    <mergeCell ref="BO131:BR131"/>
    <mergeCell ref="BS131:BU131"/>
    <mergeCell ref="BV131:BY131"/>
    <mergeCell ref="BZ131:CG131"/>
    <mergeCell ref="AP131:AQ131"/>
    <mergeCell ref="AS131:AT131"/>
    <mergeCell ref="AW131:AX131"/>
    <mergeCell ref="AY131:BA131"/>
    <mergeCell ref="BB131:BC131"/>
    <mergeCell ref="BE131:BH131"/>
    <mergeCell ref="W131:Y131"/>
    <mergeCell ref="AB131:AD131"/>
    <mergeCell ref="AE131:AG131"/>
    <mergeCell ref="AI131:AK131"/>
    <mergeCell ref="AL131:AM131"/>
    <mergeCell ref="AN131:AO131"/>
    <mergeCell ref="BM130:BN130"/>
    <mergeCell ref="BO130:BR130"/>
    <mergeCell ref="BS130:BU130"/>
    <mergeCell ref="BV130:BY130"/>
    <mergeCell ref="BZ130:CG130"/>
    <mergeCell ref="A131:F132"/>
    <mergeCell ref="G131:J132"/>
    <mergeCell ref="K131:L131"/>
    <mergeCell ref="O131:R131"/>
    <mergeCell ref="S131:U131"/>
    <mergeCell ref="AS130:AT130"/>
    <mergeCell ref="AW130:AX130"/>
    <mergeCell ref="AY130:BA130"/>
    <mergeCell ref="BB130:BC130"/>
    <mergeCell ref="BE130:BH130"/>
    <mergeCell ref="BK130:BL130"/>
    <mergeCell ref="AB130:AD130"/>
    <mergeCell ref="AE130:AG130"/>
    <mergeCell ref="AI130:AK130"/>
    <mergeCell ref="AL130:AM130"/>
    <mergeCell ref="AN130:AO130"/>
    <mergeCell ref="AP130:AQ130"/>
    <mergeCell ref="A130:F130"/>
    <mergeCell ref="G130:J130"/>
    <mergeCell ref="K130:L130"/>
    <mergeCell ref="O130:R130"/>
    <mergeCell ref="S130:U130"/>
    <mergeCell ref="W130:Y130"/>
    <mergeCell ref="BK129:BL129"/>
    <mergeCell ref="BM129:BN129"/>
    <mergeCell ref="BO129:BR129"/>
    <mergeCell ref="BS129:BU129"/>
    <mergeCell ref="BV129:BY129"/>
    <mergeCell ref="BZ129:CG129"/>
    <mergeCell ref="AP129:AQ129"/>
    <mergeCell ref="AS129:AT129"/>
    <mergeCell ref="AW129:AX129"/>
    <mergeCell ref="AY129:BA129"/>
    <mergeCell ref="BB129:BC129"/>
    <mergeCell ref="BE129:BH129"/>
    <mergeCell ref="W129:Y129"/>
    <mergeCell ref="AB129:AD129"/>
    <mergeCell ref="AE129:AG129"/>
    <mergeCell ref="AI129:AK129"/>
    <mergeCell ref="AL129:AM129"/>
    <mergeCell ref="AN129:AO129"/>
    <mergeCell ref="BM128:BN128"/>
    <mergeCell ref="BO128:BR128"/>
    <mergeCell ref="BS128:BU128"/>
    <mergeCell ref="BV128:BY128"/>
    <mergeCell ref="BZ128:CG128"/>
    <mergeCell ref="A129:F129"/>
    <mergeCell ref="G129:J129"/>
    <mergeCell ref="K129:L129"/>
    <mergeCell ref="O129:R129"/>
    <mergeCell ref="S129:U129"/>
    <mergeCell ref="AS128:AT128"/>
    <mergeCell ref="AW128:AX128"/>
    <mergeCell ref="AY128:BA128"/>
    <mergeCell ref="BB128:BC128"/>
    <mergeCell ref="BE128:BH128"/>
    <mergeCell ref="BK128:BL128"/>
    <mergeCell ref="AB128:AD128"/>
    <mergeCell ref="AE128:AG128"/>
    <mergeCell ref="AI128:AK128"/>
    <mergeCell ref="AL128:AM128"/>
    <mergeCell ref="AN128:AO128"/>
    <mergeCell ref="AP128:AQ128"/>
    <mergeCell ref="A128:F128"/>
    <mergeCell ref="G128:J128"/>
    <mergeCell ref="K128:L128"/>
    <mergeCell ref="O128:R128"/>
    <mergeCell ref="S128:U128"/>
    <mergeCell ref="W128:Y128"/>
    <mergeCell ref="BK127:BL127"/>
    <mergeCell ref="BM127:BN127"/>
    <mergeCell ref="BO127:BR127"/>
    <mergeCell ref="BS127:BU127"/>
    <mergeCell ref="BV127:BY127"/>
    <mergeCell ref="BZ127:CG127"/>
    <mergeCell ref="AP127:AQ127"/>
    <mergeCell ref="AS127:AT127"/>
    <mergeCell ref="AW127:AX127"/>
    <mergeCell ref="AY127:BA127"/>
    <mergeCell ref="BB127:BC127"/>
    <mergeCell ref="BE127:BH127"/>
    <mergeCell ref="W127:Y127"/>
    <mergeCell ref="AB127:AD127"/>
    <mergeCell ref="AE127:AG127"/>
    <mergeCell ref="AI127:AK127"/>
    <mergeCell ref="AL127:AM127"/>
    <mergeCell ref="AN127:AO127"/>
    <mergeCell ref="BM126:BN126"/>
    <mergeCell ref="BO126:BR126"/>
    <mergeCell ref="BS126:BU126"/>
    <mergeCell ref="BV126:BY126"/>
    <mergeCell ref="BZ126:CG126"/>
    <mergeCell ref="A127:F127"/>
    <mergeCell ref="G127:J127"/>
    <mergeCell ref="K127:L127"/>
    <mergeCell ref="O127:R127"/>
    <mergeCell ref="S127:U127"/>
    <mergeCell ref="AS126:AT126"/>
    <mergeCell ref="AW126:AX126"/>
    <mergeCell ref="AY126:BA126"/>
    <mergeCell ref="BB126:BC126"/>
    <mergeCell ref="BE126:BH126"/>
    <mergeCell ref="BK126:BL126"/>
    <mergeCell ref="AB126:AD126"/>
    <mergeCell ref="AE126:AG126"/>
    <mergeCell ref="AI126:AK126"/>
    <mergeCell ref="AL126:AM126"/>
    <mergeCell ref="AN126:AO126"/>
    <mergeCell ref="AP126:AQ126"/>
    <mergeCell ref="A126:F126"/>
    <mergeCell ref="G126:J126"/>
    <mergeCell ref="K126:L126"/>
    <mergeCell ref="O126:R126"/>
    <mergeCell ref="S126:U126"/>
    <mergeCell ref="W126:Y126"/>
    <mergeCell ref="BK125:BL125"/>
    <mergeCell ref="BM125:BN125"/>
    <mergeCell ref="BO125:BR125"/>
    <mergeCell ref="BS125:BU125"/>
    <mergeCell ref="BV125:BY125"/>
    <mergeCell ref="BZ125:CG125"/>
    <mergeCell ref="AP125:AQ125"/>
    <mergeCell ref="AS125:AT125"/>
    <mergeCell ref="AW125:AX125"/>
    <mergeCell ref="AY125:BA125"/>
    <mergeCell ref="BB125:BC125"/>
    <mergeCell ref="BE125:BH125"/>
    <mergeCell ref="W125:Y125"/>
    <mergeCell ref="AB125:AD125"/>
    <mergeCell ref="AE125:AG125"/>
    <mergeCell ref="AI125:AK125"/>
    <mergeCell ref="AL125:AM125"/>
    <mergeCell ref="AN125:AO125"/>
    <mergeCell ref="BM124:BN124"/>
    <mergeCell ref="BO124:BR124"/>
    <mergeCell ref="BS124:BU124"/>
    <mergeCell ref="BV124:BY124"/>
    <mergeCell ref="BZ124:CG124"/>
    <mergeCell ref="A125:F125"/>
    <mergeCell ref="G125:J125"/>
    <mergeCell ref="K125:L125"/>
    <mergeCell ref="O125:R125"/>
    <mergeCell ref="S125:U125"/>
    <mergeCell ref="AS124:AT124"/>
    <mergeCell ref="AW124:AX124"/>
    <mergeCell ref="AY124:BA124"/>
    <mergeCell ref="BB124:BC124"/>
    <mergeCell ref="BE124:BH124"/>
    <mergeCell ref="BK124:BL124"/>
    <mergeCell ref="AB124:AD124"/>
    <mergeCell ref="AE124:AG124"/>
    <mergeCell ref="AI124:AK124"/>
    <mergeCell ref="AL124:AM124"/>
    <mergeCell ref="AN124:AO124"/>
    <mergeCell ref="AP124:AQ124"/>
    <mergeCell ref="A124:F124"/>
    <mergeCell ref="G124:J124"/>
    <mergeCell ref="K124:L124"/>
    <mergeCell ref="O124:R124"/>
    <mergeCell ref="S124:U124"/>
    <mergeCell ref="W124:Y124"/>
    <mergeCell ref="BK123:BL123"/>
    <mergeCell ref="BM123:BN123"/>
    <mergeCell ref="BO123:BR123"/>
    <mergeCell ref="BS123:BU123"/>
    <mergeCell ref="BV123:BY123"/>
    <mergeCell ref="BZ123:CG123"/>
    <mergeCell ref="AP123:AQ123"/>
    <mergeCell ref="AS123:AT123"/>
    <mergeCell ref="AW123:AX123"/>
    <mergeCell ref="AY123:BA123"/>
    <mergeCell ref="BB123:BC123"/>
    <mergeCell ref="BE123:BH123"/>
    <mergeCell ref="W123:Y123"/>
    <mergeCell ref="AB123:AD123"/>
    <mergeCell ref="AE123:AG123"/>
    <mergeCell ref="AI123:AK123"/>
    <mergeCell ref="AL123:AM123"/>
    <mergeCell ref="AN123:AO123"/>
    <mergeCell ref="BM122:BN122"/>
    <mergeCell ref="BO122:BR122"/>
    <mergeCell ref="BS122:BU122"/>
    <mergeCell ref="BV122:BY122"/>
    <mergeCell ref="BZ122:CG122"/>
    <mergeCell ref="A123:F123"/>
    <mergeCell ref="G123:J123"/>
    <mergeCell ref="K123:L123"/>
    <mergeCell ref="O123:R123"/>
    <mergeCell ref="S123:U123"/>
    <mergeCell ref="AS122:AT122"/>
    <mergeCell ref="AW122:AX122"/>
    <mergeCell ref="AY122:BA122"/>
    <mergeCell ref="BB122:BC122"/>
    <mergeCell ref="BE122:BH122"/>
    <mergeCell ref="BK122:BL122"/>
    <mergeCell ref="AB122:AD122"/>
    <mergeCell ref="AE122:AG122"/>
    <mergeCell ref="AI122:AK122"/>
    <mergeCell ref="AL122:AM122"/>
    <mergeCell ref="AN122:AO122"/>
    <mergeCell ref="AP122:AQ122"/>
    <mergeCell ref="A122:F122"/>
    <mergeCell ref="G122:J122"/>
    <mergeCell ref="K122:L122"/>
    <mergeCell ref="O122:R122"/>
    <mergeCell ref="S122:U122"/>
    <mergeCell ref="W122:Y122"/>
    <mergeCell ref="BK121:BL121"/>
    <mergeCell ref="BM121:BN121"/>
    <mergeCell ref="BO121:BR121"/>
    <mergeCell ref="BS121:BU121"/>
    <mergeCell ref="BV121:BY121"/>
    <mergeCell ref="BZ121:CG121"/>
    <mergeCell ref="AP121:AQ121"/>
    <mergeCell ref="AS121:AT121"/>
    <mergeCell ref="AW121:AX121"/>
    <mergeCell ref="AY121:BA121"/>
    <mergeCell ref="BB121:BC121"/>
    <mergeCell ref="BE121:BH121"/>
    <mergeCell ref="W121:Y121"/>
    <mergeCell ref="AB121:AD121"/>
    <mergeCell ref="AE121:AG121"/>
    <mergeCell ref="AI121:AK121"/>
    <mergeCell ref="AL121:AM121"/>
    <mergeCell ref="AN121:AO121"/>
    <mergeCell ref="BM120:BN120"/>
    <mergeCell ref="BO120:BR120"/>
    <mergeCell ref="BS120:BU120"/>
    <mergeCell ref="BV120:BY120"/>
    <mergeCell ref="BZ120:CG120"/>
    <mergeCell ref="A121:F121"/>
    <mergeCell ref="G121:J121"/>
    <mergeCell ref="K121:L121"/>
    <mergeCell ref="O121:R121"/>
    <mergeCell ref="S121:U121"/>
    <mergeCell ref="AS120:AT120"/>
    <mergeCell ref="AW120:AX120"/>
    <mergeCell ref="AY120:BA120"/>
    <mergeCell ref="BB120:BC120"/>
    <mergeCell ref="BE120:BH120"/>
    <mergeCell ref="BK120:BL120"/>
    <mergeCell ref="AB120:AD120"/>
    <mergeCell ref="AE120:AG120"/>
    <mergeCell ref="AI120:AK120"/>
    <mergeCell ref="AL120:AM120"/>
    <mergeCell ref="AN120:AO120"/>
    <mergeCell ref="AP120:AQ120"/>
    <mergeCell ref="A120:F120"/>
    <mergeCell ref="G120:J120"/>
    <mergeCell ref="K120:L120"/>
    <mergeCell ref="O120:R120"/>
    <mergeCell ref="S120:U120"/>
    <mergeCell ref="W120:Y120"/>
    <mergeCell ref="BK119:BL119"/>
    <mergeCell ref="BM119:BN119"/>
    <mergeCell ref="BO119:BR119"/>
    <mergeCell ref="BS119:BU119"/>
    <mergeCell ref="BV119:BY119"/>
    <mergeCell ref="BZ119:CG119"/>
    <mergeCell ref="AP119:AQ119"/>
    <mergeCell ref="AS119:AT119"/>
    <mergeCell ref="AW119:AX119"/>
    <mergeCell ref="AY119:BA119"/>
    <mergeCell ref="BB119:BC119"/>
    <mergeCell ref="BE119:BH119"/>
    <mergeCell ref="W119:Y119"/>
    <mergeCell ref="AB119:AD119"/>
    <mergeCell ref="AE119:AG119"/>
    <mergeCell ref="AI119:AK119"/>
    <mergeCell ref="AL119:AM119"/>
    <mergeCell ref="AN119:AO119"/>
    <mergeCell ref="BM118:BN118"/>
    <mergeCell ref="BO118:BR118"/>
    <mergeCell ref="BS118:BU118"/>
    <mergeCell ref="BV118:BY118"/>
    <mergeCell ref="BZ118:CG118"/>
    <mergeCell ref="A119:F119"/>
    <mergeCell ref="G119:J119"/>
    <mergeCell ref="K119:L119"/>
    <mergeCell ref="O119:R119"/>
    <mergeCell ref="S119:U119"/>
    <mergeCell ref="AS118:AT118"/>
    <mergeCell ref="AW118:AX118"/>
    <mergeCell ref="AY118:BA118"/>
    <mergeCell ref="BB118:BC118"/>
    <mergeCell ref="BE118:BH118"/>
    <mergeCell ref="BK118:BL118"/>
    <mergeCell ref="AB118:AD118"/>
    <mergeCell ref="AE118:AG118"/>
    <mergeCell ref="AI118:AK118"/>
    <mergeCell ref="AL118:AM118"/>
    <mergeCell ref="AN118:AO118"/>
    <mergeCell ref="AP118:AQ118"/>
    <mergeCell ref="A118:F118"/>
    <mergeCell ref="G118:J118"/>
    <mergeCell ref="K118:L118"/>
    <mergeCell ref="O118:R118"/>
    <mergeCell ref="S118:U118"/>
    <mergeCell ref="W118:Y118"/>
    <mergeCell ref="BK117:BL117"/>
    <mergeCell ref="BM117:BN117"/>
    <mergeCell ref="BO117:BR117"/>
    <mergeCell ref="BS117:BU117"/>
    <mergeCell ref="BV117:BY117"/>
    <mergeCell ref="BZ117:CG117"/>
    <mergeCell ref="AP117:AQ117"/>
    <mergeCell ref="AS117:AT117"/>
    <mergeCell ref="AW117:AX117"/>
    <mergeCell ref="AY117:BA117"/>
    <mergeCell ref="BB117:BC117"/>
    <mergeCell ref="BE117:BH117"/>
    <mergeCell ref="W117:Y117"/>
    <mergeCell ref="AB117:AD117"/>
    <mergeCell ref="AE117:AG117"/>
    <mergeCell ref="AI117:AK117"/>
    <mergeCell ref="AL117:AM117"/>
    <mergeCell ref="AN117:AO117"/>
    <mergeCell ref="BM116:BN116"/>
    <mergeCell ref="BO116:BR116"/>
    <mergeCell ref="BS116:BU116"/>
    <mergeCell ref="BV116:BY116"/>
    <mergeCell ref="BZ116:CG116"/>
    <mergeCell ref="A117:F117"/>
    <mergeCell ref="G117:J117"/>
    <mergeCell ref="K117:L117"/>
    <mergeCell ref="O117:R117"/>
    <mergeCell ref="S117:U117"/>
    <mergeCell ref="AS116:AT116"/>
    <mergeCell ref="AW116:AX116"/>
    <mergeCell ref="AY116:BA116"/>
    <mergeCell ref="BB116:BC116"/>
    <mergeCell ref="BE116:BH116"/>
    <mergeCell ref="BK116:BL116"/>
    <mergeCell ref="AB116:AD116"/>
    <mergeCell ref="AE116:AG116"/>
    <mergeCell ref="AI116:AK116"/>
    <mergeCell ref="AL116:AM116"/>
    <mergeCell ref="AN116:AO116"/>
    <mergeCell ref="AP116:AQ116"/>
    <mergeCell ref="A116:F116"/>
    <mergeCell ref="G116:J116"/>
    <mergeCell ref="K116:L116"/>
    <mergeCell ref="O116:R116"/>
    <mergeCell ref="S116:U116"/>
    <mergeCell ref="W116:Y116"/>
    <mergeCell ref="BK115:BL115"/>
    <mergeCell ref="BM115:BN115"/>
    <mergeCell ref="BO115:BR115"/>
    <mergeCell ref="BS115:BU115"/>
    <mergeCell ref="BV115:BY115"/>
    <mergeCell ref="BZ115:CG115"/>
    <mergeCell ref="AP115:AQ115"/>
    <mergeCell ref="AS115:AT115"/>
    <mergeCell ref="AW115:AX115"/>
    <mergeCell ref="AY115:BA115"/>
    <mergeCell ref="BB115:BC115"/>
    <mergeCell ref="BE115:BH115"/>
    <mergeCell ref="W115:Y115"/>
    <mergeCell ref="AB115:AD115"/>
    <mergeCell ref="AE115:AG115"/>
    <mergeCell ref="AI115:AK115"/>
    <mergeCell ref="AL115:AM115"/>
    <mergeCell ref="AN115:AO115"/>
    <mergeCell ref="BM114:BN114"/>
    <mergeCell ref="BO114:BR114"/>
    <mergeCell ref="BS114:BU114"/>
    <mergeCell ref="BV114:BY114"/>
    <mergeCell ref="BZ114:CG114"/>
    <mergeCell ref="A115:F115"/>
    <mergeCell ref="G115:J115"/>
    <mergeCell ref="K115:L115"/>
    <mergeCell ref="O115:R115"/>
    <mergeCell ref="S115:U115"/>
    <mergeCell ref="AS114:AT114"/>
    <mergeCell ref="AW114:AX114"/>
    <mergeCell ref="AY114:BA114"/>
    <mergeCell ref="BB114:BC114"/>
    <mergeCell ref="BE114:BH114"/>
    <mergeCell ref="BK114:BL114"/>
    <mergeCell ref="AB114:AD114"/>
    <mergeCell ref="AE114:AG114"/>
    <mergeCell ref="AI114:AK114"/>
    <mergeCell ref="AL114:AM114"/>
    <mergeCell ref="AN114:AO114"/>
    <mergeCell ref="AP114:AQ114"/>
    <mergeCell ref="A114:F114"/>
    <mergeCell ref="G114:J114"/>
    <mergeCell ref="K114:L114"/>
    <mergeCell ref="O114:R114"/>
    <mergeCell ref="S114:U114"/>
    <mergeCell ref="W114:Y114"/>
    <mergeCell ref="BK113:BL113"/>
    <mergeCell ref="BM113:BN113"/>
    <mergeCell ref="BO113:BR113"/>
    <mergeCell ref="BS113:BU113"/>
    <mergeCell ref="BV113:BY113"/>
    <mergeCell ref="BZ113:CG113"/>
    <mergeCell ref="AP113:AQ113"/>
    <mergeCell ref="AS113:AT113"/>
    <mergeCell ref="AW113:AX113"/>
    <mergeCell ref="AY113:BA113"/>
    <mergeCell ref="BB113:BC113"/>
    <mergeCell ref="BE113:BH113"/>
    <mergeCell ref="W113:Y113"/>
    <mergeCell ref="AB113:AD113"/>
    <mergeCell ref="AE113:AG113"/>
    <mergeCell ref="AI113:AK113"/>
    <mergeCell ref="AL113:AM113"/>
    <mergeCell ref="AN113:AO113"/>
    <mergeCell ref="BM112:BN112"/>
    <mergeCell ref="BO112:BR112"/>
    <mergeCell ref="BS112:BU112"/>
    <mergeCell ref="BV112:BY112"/>
    <mergeCell ref="BZ112:CG112"/>
    <mergeCell ref="A113:F113"/>
    <mergeCell ref="G113:J113"/>
    <mergeCell ref="K113:L113"/>
    <mergeCell ref="O113:R113"/>
    <mergeCell ref="S113:U113"/>
    <mergeCell ref="AS112:AT112"/>
    <mergeCell ref="AW112:AX112"/>
    <mergeCell ref="AY112:BA112"/>
    <mergeCell ref="BB112:BC112"/>
    <mergeCell ref="BE112:BH112"/>
    <mergeCell ref="BK112:BL112"/>
    <mergeCell ref="AB112:AD112"/>
    <mergeCell ref="AE112:AG112"/>
    <mergeCell ref="AI112:AK112"/>
    <mergeCell ref="AL112:AM112"/>
    <mergeCell ref="AN112:AO112"/>
    <mergeCell ref="AP112:AQ112"/>
    <mergeCell ref="A112:F112"/>
    <mergeCell ref="G112:J112"/>
    <mergeCell ref="K112:L112"/>
    <mergeCell ref="O112:R112"/>
    <mergeCell ref="S112:U112"/>
    <mergeCell ref="W112:Y112"/>
    <mergeCell ref="BK111:BL111"/>
    <mergeCell ref="BM111:BN111"/>
    <mergeCell ref="BO111:BR111"/>
    <mergeCell ref="BS111:BU111"/>
    <mergeCell ref="BV111:BY111"/>
    <mergeCell ref="BZ111:CG111"/>
    <mergeCell ref="AP111:AQ111"/>
    <mergeCell ref="AS111:AT111"/>
    <mergeCell ref="AW111:AX111"/>
    <mergeCell ref="AY111:BA111"/>
    <mergeCell ref="BB111:BC111"/>
    <mergeCell ref="BE111:BH111"/>
    <mergeCell ref="W111:Y111"/>
    <mergeCell ref="AB111:AD111"/>
    <mergeCell ref="AE111:AG111"/>
    <mergeCell ref="AI111:AK111"/>
    <mergeCell ref="AL111:AM111"/>
    <mergeCell ref="AN111:AO111"/>
    <mergeCell ref="BM110:BN110"/>
    <mergeCell ref="BO110:BR110"/>
    <mergeCell ref="BS110:BU110"/>
    <mergeCell ref="BV110:BY110"/>
    <mergeCell ref="BZ110:CG110"/>
    <mergeCell ref="A111:F111"/>
    <mergeCell ref="G111:J111"/>
    <mergeCell ref="K111:L111"/>
    <mergeCell ref="O111:R111"/>
    <mergeCell ref="S111:U111"/>
    <mergeCell ref="AS110:AT110"/>
    <mergeCell ref="AW110:AX110"/>
    <mergeCell ref="AY110:BA110"/>
    <mergeCell ref="BB110:BC110"/>
    <mergeCell ref="BE110:BH110"/>
    <mergeCell ref="BK110:BL110"/>
    <mergeCell ref="AB110:AD110"/>
    <mergeCell ref="AE110:AG110"/>
    <mergeCell ref="AI110:AK110"/>
    <mergeCell ref="AL110:AM110"/>
    <mergeCell ref="AN110:AO110"/>
    <mergeCell ref="AP110:AQ110"/>
    <mergeCell ref="A110:F110"/>
    <mergeCell ref="G110:J110"/>
    <mergeCell ref="K110:L110"/>
    <mergeCell ref="O110:R110"/>
    <mergeCell ref="S110:U110"/>
    <mergeCell ref="W110:Y110"/>
    <mergeCell ref="BK109:BL109"/>
    <mergeCell ref="BM109:BN109"/>
    <mergeCell ref="BO109:BR109"/>
    <mergeCell ref="BS109:BU109"/>
    <mergeCell ref="BV109:BY109"/>
    <mergeCell ref="BZ109:CG109"/>
    <mergeCell ref="AP109:AQ109"/>
    <mergeCell ref="AS109:AT109"/>
    <mergeCell ref="AW109:AX109"/>
    <mergeCell ref="AY109:BA109"/>
    <mergeCell ref="BB109:BC109"/>
    <mergeCell ref="BE109:BH109"/>
    <mergeCell ref="W109:Y109"/>
    <mergeCell ref="AB109:AD109"/>
    <mergeCell ref="AE109:AG109"/>
    <mergeCell ref="AI109:AK109"/>
    <mergeCell ref="AL109:AM109"/>
    <mergeCell ref="AN109:AO109"/>
    <mergeCell ref="BM108:BN108"/>
    <mergeCell ref="BO108:BR108"/>
    <mergeCell ref="BS108:BU108"/>
    <mergeCell ref="BV108:BY108"/>
    <mergeCell ref="BZ108:CG108"/>
    <mergeCell ref="A109:F109"/>
    <mergeCell ref="G109:J109"/>
    <mergeCell ref="K109:L109"/>
    <mergeCell ref="O109:R109"/>
    <mergeCell ref="S109:U109"/>
    <mergeCell ref="AS108:AT108"/>
    <mergeCell ref="AW108:AX108"/>
    <mergeCell ref="AY108:BA108"/>
    <mergeCell ref="BB108:BC108"/>
    <mergeCell ref="BE108:BH108"/>
    <mergeCell ref="BK108:BL108"/>
    <mergeCell ref="AB108:AD108"/>
    <mergeCell ref="AE108:AG108"/>
    <mergeCell ref="AI108:AK108"/>
    <mergeCell ref="AL108:AM108"/>
    <mergeCell ref="AN108:AO108"/>
    <mergeCell ref="AP108:AQ108"/>
    <mergeCell ref="A108:F108"/>
    <mergeCell ref="G108:J108"/>
    <mergeCell ref="K108:L108"/>
    <mergeCell ref="O108:R108"/>
    <mergeCell ref="S108:U108"/>
    <mergeCell ref="W108:Y108"/>
    <mergeCell ref="BK107:BL107"/>
    <mergeCell ref="BM107:BN107"/>
    <mergeCell ref="BO107:BR107"/>
    <mergeCell ref="BS107:BU107"/>
    <mergeCell ref="BV107:BY107"/>
    <mergeCell ref="BZ107:CG107"/>
    <mergeCell ref="AP107:AQ107"/>
    <mergeCell ref="AS107:AT107"/>
    <mergeCell ref="AW107:AX107"/>
    <mergeCell ref="AY107:BA107"/>
    <mergeCell ref="BB107:BC107"/>
    <mergeCell ref="BE107:BH107"/>
    <mergeCell ref="W107:Y107"/>
    <mergeCell ref="AB107:AD107"/>
    <mergeCell ref="AE107:AG107"/>
    <mergeCell ref="AI107:AK107"/>
    <mergeCell ref="AL107:AM107"/>
    <mergeCell ref="AN107:AO107"/>
    <mergeCell ref="BM106:BN106"/>
    <mergeCell ref="BO106:BR106"/>
    <mergeCell ref="BS106:BU106"/>
    <mergeCell ref="BV106:BY106"/>
    <mergeCell ref="BZ106:CG106"/>
    <mergeCell ref="A107:F107"/>
    <mergeCell ref="G107:J107"/>
    <mergeCell ref="K107:L107"/>
    <mergeCell ref="O107:R107"/>
    <mergeCell ref="S107:U107"/>
    <mergeCell ref="AS106:AT106"/>
    <mergeCell ref="AW106:AX106"/>
    <mergeCell ref="AY106:BA106"/>
    <mergeCell ref="BB106:BC106"/>
    <mergeCell ref="BE106:BH106"/>
    <mergeCell ref="BK106:BL106"/>
    <mergeCell ref="AB106:AD106"/>
    <mergeCell ref="AE106:AG106"/>
    <mergeCell ref="AI106:AK106"/>
    <mergeCell ref="AL106:AM106"/>
    <mergeCell ref="AN106:AO106"/>
    <mergeCell ref="AP106:AQ106"/>
    <mergeCell ref="A106:F106"/>
    <mergeCell ref="G106:J106"/>
    <mergeCell ref="K106:L106"/>
    <mergeCell ref="O106:R106"/>
    <mergeCell ref="S106:U106"/>
    <mergeCell ref="W106:Y106"/>
    <mergeCell ref="BK105:BL105"/>
    <mergeCell ref="BM105:BN105"/>
    <mergeCell ref="BO105:BR105"/>
    <mergeCell ref="BS105:BU105"/>
    <mergeCell ref="BV105:BY105"/>
    <mergeCell ref="BZ105:CG105"/>
    <mergeCell ref="AP105:AQ105"/>
    <mergeCell ref="AS105:AT105"/>
    <mergeCell ref="AW105:AX105"/>
    <mergeCell ref="AY105:BA105"/>
    <mergeCell ref="BB105:BC105"/>
    <mergeCell ref="BE105:BH105"/>
    <mergeCell ref="W105:Y105"/>
    <mergeCell ref="AB105:AD105"/>
    <mergeCell ref="AE105:AG105"/>
    <mergeCell ref="AI105:AK105"/>
    <mergeCell ref="AL105:AM105"/>
    <mergeCell ref="AN105:AO105"/>
    <mergeCell ref="BM104:BN104"/>
    <mergeCell ref="BO104:BR104"/>
    <mergeCell ref="BS104:BU104"/>
    <mergeCell ref="BV104:BY104"/>
    <mergeCell ref="BZ104:CG104"/>
    <mergeCell ref="A105:F105"/>
    <mergeCell ref="G105:J105"/>
    <mergeCell ref="K105:L105"/>
    <mergeCell ref="O105:R105"/>
    <mergeCell ref="S105:U105"/>
    <mergeCell ref="AS104:AT104"/>
    <mergeCell ref="AW104:AX104"/>
    <mergeCell ref="AY104:BA104"/>
    <mergeCell ref="BB104:BC104"/>
    <mergeCell ref="BE104:BH104"/>
    <mergeCell ref="BK104:BL104"/>
    <mergeCell ref="AB104:AD104"/>
    <mergeCell ref="AE104:AG104"/>
    <mergeCell ref="AI104:AK104"/>
    <mergeCell ref="AL104:AM104"/>
    <mergeCell ref="AN104:AO104"/>
    <mergeCell ref="AP104:AQ104"/>
    <mergeCell ref="A104:F104"/>
    <mergeCell ref="G104:J104"/>
    <mergeCell ref="K104:L104"/>
    <mergeCell ref="O104:R104"/>
    <mergeCell ref="S104:U104"/>
    <mergeCell ref="W104:Y104"/>
    <mergeCell ref="BK103:BL103"/>
    <mergeCell ref="BM103:BN103"/>
    <mergeCell ref="BO103:BR103"/>
    <mergeCell ref="BS103:BU103"/>
    <mergeCell ref="BV103:BY103"/>
    <mergeCell ref="BZ103:CG103"/>
    <mergeCell ref="AP103:AQ103"/>
    <mergeCell ref="AS103:AT103"/>
    <mergeCell ref="AW103:AX103"/>
    <mergeCell ref="AY103:BA103"/>
    <mergeCell ref="BB103:BC103"/>
    <mergeCell ref="BE103:BH103"/>
    <mergeCell ref="W103:Y103"/>
    <mergeCell ref="AB103:AD103"/>
    <mergeCell ref="AE103:AG103"/>
    <mergeCell ref="AI103:AK103"/>
    <mergeCell ref="AL103:AM103"/>
    <mergeCell ref="AN103:AO103"/>
    <mergeCell ref="BM102:BN102"/>
    <mergeCell ref="BO102:BR102"/>
    <mergeCell ref="BS102:BU102"/>
    <mergeCell ref="BV102:BY102"/>
    <mergeCell ref="BZ102:CG102"/>
    <mergeCell ref="A103:F103"/>
    <mergeCell ref="G103:J103"/>
    <mergeCell ref="K103:L103"/>
    <mergeCell ref="O103:R103"/>
    <mergeCell ref="S103:U103"/>
    <mergeCell ref="AS102:AT102"/>
    <mergeCell ref="AW102:AX102"/>
    <mergeCell ref="AY102:BA102"/>
    <mergeCell ref="BB102:BC102"/>
    <mergeCell ref="BE102:BH102"/>
    <mergeCell ref="BK102:BL102"/>
    <mergeCell ref="AB102:AD102"/>
    <mergeCell ref="AE102:AG102"/>
    <mergeCell ref="AI102:AK102"/>
    <mergeCell ref="AL102:AM102"/>
    <mergeCell ref="AN102:AO102"/>
    <mergeCell ref="AP102:AQ102"/>
    <mergeCell ref="A102:F102"/>
    <mergeCell ref="G102:J102"/>
    <mergeCell ref="K102:L102"/>
    <mergeCell ref="O102:R102"/>
    <mergeCell ref="S102:U102"/>
    <mergeCell ref="W102:Y102"/>
    <mergeCell ref="BK101:BL101"/>
    <mergeCell ref="BM101:BN101"/>
    <mergeCell ref="BO101:BR101"/>
    <mergeCell ref="BS101:BU101"/>
    <mergeCell ref="BV101:BY101"/>
    <mergeCell ref="BZ101:CG101"/>
    <mergeCell ref="AP101:AQ101"/>
    <mergeCell ref="AS101:AT101"/>
    <mergeCell ref="AW101:AX101"/>
    <mergeCell ref="AY101:BA101"/>
    <mergeCell ref="BB101:BC101"/>
    <mergeCell ref="BE101:BH101"/>
    <mergeCell ref="W101:Y101"/>
    <mergeCell ref="AB101:AD101"/>
    <mergeCell ref="AE101:AG101"/>
    <mergeCell ref="AI101:AK101"/>
    <mergeCell ref="AL101:AM101"/>
    <mergeCell ref="AN101:AO101"/>
    <mergeCell ref="BM100:BN100"/>
    <mergeCell ref="BO100:BR100"/>
    <mergeCell ref="BS100:BU100"/>
    <mergeCell ref="BV100:BY100"/>
    <mergeCell ref="BZ100:CG100"/>
    <mergeCell ref="A101:F101"/>
    <mergeCell ref="G101:J101"/>
    <mergeCell ref="K101:L101"/>
    <mergeCell ref="O101:R101"/>
    <mergeCell ref="S101:U101"/>
    <mergeCell ref="AS100:AT100"/>
    <mergeCell ref="AW100:AX100"/>
    <mergeCell ref="AY100:BA100"/>
    <mergeCell ref="BB100:BC100"/>
    <mergeCell ref="BE100:BH100"/>
    <mergeCell ref="BK100:BL100"/>
    <mergeCell ref="AB100:AD100"/>
    <mergeCell ref="AE100:AG100"/>
    <mergeCell ref="AI100:AK100"/>
    <mergeCell ref="AL100:AM100"/>
    <mergeCell ref="AN100:AO100"/>
    <mergeCell ref="AP100:AQ100"/>
    <mergeCell ref="A100:F100"/>
    <mergeCell ref="G100:J100"/>
    <mergeCell ref="K100:L100"/>
    <mergeCell ref="O100:R100"/>
    <mergeCell ref="S100:U100"/>
    <mergeCell ref="W100:Y100"/>
    <mergeCell ref="BK99:BL99"/>
    <mergeCell ref="BM99:BN99"/>
    <mergeCell ref="BO99:BR99"/>
    <mergeCell ref="BS99:BU99"/>
    <mergeCell ref="BV99:BY99"/>
    <mergeCell ref="BZ99:CG99"/>
    <mergeCell ref="AP99:AQ99"/>
    <mergeCell ref="AS99:AT99"/>
    <mergeCell ref="AW99:AX99"/>
    <mergeCell ref="AY99:BA99"/>
    <mergeCell ref="BB99:BC99"/>
    <mergeCell ref="BE99:BH99"/>
    <mergeCell ref="W99:Y99"/>
    <mergeCell ref="AB99:AD99"/>
    <mergeCell ref="AE99:AG99"/>
    <mergeCell ref="AI99:AK99"/>
    <mergeCell ref="AL99:AM99"/>
    <mergeCell ref="AN99:AO99"/>
    <mergeCell ref="BM98:BN98"/>
    <mergeCell ref="BO98:BR98"/>
    <mergeCell ref="BS98:BU98"/>
    <mergeCell ref="BV98:BY98"/>
    <mergeCell ref="BZ98:CG98"/>
    <mergeCell ref="A99:F99"/>
    <mergeCell ref="G99:J99"/>
    <mergeCell ref="K99:L99"/>
    <mergeCell ref="O99:R99"/>
    <mergeCell ref="S99:U99"/>
    <mergeCell ref="AS98:AT98"/>
    <mergeCell ref="AW98:AX98"/>
    <mergeCell ref="AY98:BA98"/>
    <mergeCell ref="BB98:BC98"/>
    <mergeCell ref="BE98:BH98"/>
    <mergeCell ref="BK98:BL98"/>
    <mergeCell ref="AB98:AD98"/>
    <mergeCell ref="AE98:AG98"/>
    <mergeCell ref="AI98:AK98"/>
    <mergeCell ref="AL98:AM98"/>
    <mergeCell ref="AN98:AO98"/>
    <mergeCell ref="AP98:AQ98"/>
    <mergeCell ref="A98:F98"/>
    <mergeCell ref="G98:J98"/>
    <mergeCell ref="K98:L98"/>
    <mergeCell ref="O98:R98"/>
    <mergeCell ref="S98:U98"/>
    <mergeCell ref="W98:Y98"/>
    <mergeCell ref="BK97:BL97"/>
    <mergeCell ref="BM97:BN97"/>
    <mergeCell ref="BO97:BR97"/>
    <mergeCell ref="BS97:BU97"/>
    <mergeCell ref="BV97:BY97"/>
    <mergeCell ref="BZ97:CG97"/>
    <mergeCell ref="AP97:AQ97"/>
    <mergeCell ref="AS97:AT97"/>
    <mergeCell ref="AW97:AX97"/>
    <mergeCell ref="AY97:BA97"/>
    <mergeCell ref="BB97:BC97"/>
    <mergeCell ref="BE97:BH97"/>
    <mergeCell ref="W97:Y97"/>
    <mergeCell ref="AB97:AD97"/>
    <mergeCell ref="AE97:AG97"/>
    <mergeCell ref="AI97:AK97"/>
    <mergeCell ref="AL97:AM97"/>
    <mergeCell ref="AN97:AO97"/>
    <mergeCell ref="BM96:BN96"/>
    <mergeCell ref="BO96:BR96"/>
    <mergeCell ref="BS96:BU96"/>
    <mergeCell ref="BV96:BY96"/>
    <mergeCell ref="BZ96:CG96"/>
    <mergeCell ref="A97:F97"/>
    <mergeCell ref="G97:J97"/>
    <mergeCell ref="K97:L97"/>
    <mergeCell ref="O97:R97"/>
    <mergeCell ref="S97:U97"/>
    <mergeCell ref="AS96:AT96"/>
    <mergeCell ref="AW96:AX96"/>
    <mergeCell ref="AY96:BA96"/>
    <mergeCell ref="BB96:BC96"/>
    <mergeCell ref="BE96:BH96"/>
    <mergeCell ref="BK96:BL96"/>
    <mergeCell ref="AB96:AD96"/>
    <mergeCell ref="AE96:AG96"/>
    <mergeCell ref="AI96:AK96"/>
    <mergeCell ref="AL96:AM96"/>
    <mergeCell ref="AN96:AO96"/>
    <mergeCell ref="AP96:AQ96"/>
    <mergeCell ref="A96:F96"/>
    <mergeCell ref="G96:J96"/>
    <mergeCell ref="K96:L96"/>
    <mergeCell ref="O96:R96"/>
    <mergeCell ref="S96:U96"/>
    <mergeCell ref="W96:Y96"/>
    <mergeCell ref="BK95:BL95"/>
    <mergeCell ref="BM95:BN95"/>
    <mergeCell ref="BO95:BR95"/>
    <mergeCell ref="BS95:BU95"/>
    <mergeCell ref="BV95:BY95"/>
    <mergeCell ref="BZ95:CG95"/>
    <mergeCell ref="AP95:AQ95"/>
    <mergeCell ref="AS95:AT95"/>
    <mergeCell ref="AW95:AX95"/>
    <mergeCell ref="AY95:BA95"/>
    <mergeCell ref="BB95:BC95"/>
    <mergeCell ref="BE95:BH95"/>
    <mergeCell ref="W95:Y95"/>
    <mergeCell ref="AB95:AD95"/>
    <mergeCell ref="AE95:AG95"/>
    <mergeCell ref="AI95:AK95"/>
    <mergeCell ref="AL95:AM95"/>
    <mergeCell ref="AN95:AO95"/>
    <mergeCell ref="BM94:BN94"/>
    <mergeCell ref="BO94:BR94"/>
    <mergeCell ref="BS94:BU94"/>
    <mergeCell ref="BV94:BY94"/>
    <mergeCell ref="BZ94:CG94"/>
    <mergeCell ref="A95:F95"/>
    <mergeCell ref="G95:J95"/>
    <mergeCell ref="K95:L95"/>
    <mergeCell ref="O95:R95"/>
    <mergeCell ref="S95:U95"/>
    <mergeCell ref="AS94:AT94"/>
    <mergeCell ref="AW94:AX94"/>
    <mergeCell ref="AY94:BA94"/>
    <mergeCell ref="BB94:BC94"/>
    <mergeCell ref="BE94:BH94"/>
    <mergeCell ref="BK94:BL94"/>
    <mergeCell ref="AB94:AD94"/>
    <mergeCell ref="AE94:AG94"/>
    <mergeCell ref="AI94:AK94"/>
    <mergeCell ref="AL94:AM94"/>
    <mergeCell ref="AN94:AO94"/>
    <mergeCell ref="AP94:AQ94"/>
    <mergeCell ref="A94:F94"/>
    <mergeCell ref="G94:J94"/>
    <mergeCell ref="K94:L94"/>
    <mergeCell ref="O94:R94"/>
    <mergeCell ref="S94:U94"/>
    <mergeCell ref="W94:Y94"/>
    <mergeCell ref="BK93:BL93"/>
    <mergeCell ref="BM93:BN93"/>
    <mergeCell ref="BO93:BR93"/>
    <mergeCell ref="BS93:BU93"/>
    <mergeCell ref="BV93:BY93"/>
    <mergeCell ref="BZ93:CG93"/>
    <mergeCell ref="AP93:AQ93"/>
    <mergeCell ref="AS93:AT93"/>
    <mergeCell ref="AW93:AX93"/>
    <mergeCell ref="AY93:BA93"/>
    <mergeCell ref="BB93:BC93"/>
    <mergeCell ref="BE93:BH93"/>
    <mergeCell ref="W93:Y93"/>
    <mergeCell ref="AB93:AD93"/>
    <mergeCell ref="AE93:AG93"/>
    <mergeCell ref="AI93:AK93"/>
    <mergeCell ref="AL93:AM93"/>
    <mergeCell ref="AN93:AO93"/>
    <mergeCell ref="BM92:BN92"/>
    <mergeCell ref="BO92:BR92"/>
    <mergeCell ref="BS92:BU92"/>
    <mergeCell ref="BV92:BY92"/>
    <mergeCell ref="BZ92:CG92"/>
    <mergeCell ref="A93:F93"/>
    <mergeCell ref="G93:J93"/>
    <mergeCell ref="K93:L93"/>
    <mergeCell ref="O93:R93"/>
    <mergeCell ref="S93:U93"/>
    <mergeCell ref="AS92:AT92"/>
    <mergeCell ref="AW92:AX92"/>
    <mergeCell ref="AY92:BA92"/>
    <mergeCell ref="BB92:BC92"/>
    <mergeCell ref="BE92:BH92"/>
    <mergeCell ref="BK92:BL92"/>
    <mergeCell ref="AB92:AD92"/>
    <mergeCell ref="AE92:AG92"/>
    <mergeCell ref="AI92:AK92"/>
    <mergeCell ref="AL92:AM92"/>
    <mergeCell ref="AN92:AO92"/>
    <mergeCell ref="AP92:AQ92"/>
    <mergeCell ref="A92:F92"/>
    <mergeCell ref="G92:J92"/>
    <mergeCell ref="K92:L92"/>
    <mergeCell ref="O92:R92"/>
    <mergeCell ref="S92:U92"/>
    <mergeCell ref="W92:Y92"/>
    <mergeCell ref="BK91:BL91"/>
    <mergeCell ref="BM91:BN91"/>
    <mergeCell ref="BO91:BR91"/>
    <mergeCell ref="BS91:BU91"/>
    <mergeCell ref="BV91:BY91"/>
    <mergeCell ref="BZ91:CG91"/>
    <mergeCell ref="AP91:AQ91"/>
    <mergeCell ref="AS91:AT91"/>
    <mergeCell ref="AW91:AX91"/>
    <mergeCell ref="AY91:BA91"/>
    <mergeCell ref="BB91:BC91"/>
    <mergeCell ref="BE91:BH91"/>
    <mergeCell ref="W91:Y91"/>
    <mergeCell ref="AB91:AD91"/>
    <mergeCell ref="AE91:AG91"/>
    <mergeCell ref="AI91:AK91"/>
    <mergeCell ref="AL91:AM91"/>
    <mergeCell ref="AN91:AO91"/>
    <mergeCell ref="BM90:BN90"/>
    <mergeCell ref="BO90:BR90"/>
    <mergeCell ref="BS90:BU90"/>
    <mergeCell ref="BV90:BY90"/>
    <mergeCell ref="BZ90:CG90"/>
    <mergeCell ref="A91:F91"/>
    <mergeCell ref="G91:J91"/>
    <mergeCell ref="K91:L91"/>
    <mergeCell ref="O91:R91"/>
    <mergeCell ref="S91:U91"/>
    <mergeCell ref="AS90:AT90"/>
    <mergeCell ref="AW90:AX90"/>
    <mergeCell ref="AY90:BA90"/>
    <mergeCell ref="BB90:BC90"/>
    <mergeCell ref="BE90:BH90"/>
    <mergeCell ref="BK90:BL90"/>
    <mergeCell ref="AB90:AD90"/>
    <mergeCell ref="AE90:AG90"/>
    <mergeCell ref="AI90:AK90"/>
    <mergeCell ref="AL90:AM90"/>
    <mergeCell ref="AN90:AO90"/>
    <mergeCell ref="AP90:AQ90"/>
    <mergeCell ref="A90:F90"/>
    <mergeCell ref="G90:J90"/>
    <mergeCell ref="K90:L90"/>
    <mergeCell ref="O90:R90"/>
    <mergeCell ref="S90:U90"/>
    <mergeCell ref="W90:Y90"/>
    <mergeCell ref="BK89:BL89"/>
    <mergeCell ref="BM89:BN89"/>
    <mergeCell ref="BO89:BR89"/>
    <mergeCell ref="BS89:BU89"/>
    <mergeCell ref="BV89:BY89"/>
    <mergeCell ref="BZ89:CG89"/>
    <mergeCell ref="AP89:AQ89"/>
    <mergeCell ref="AS89:AT89"/>
    <mergeCell ref="AW89:AX89"/>
    <mergeCell ref="AY89:BA89"/>
    <mergeCell ref="BB89:BC89"/>
    <mergeCell ref="BE89:BH89"/>
    <mergeCell ref="W89:Y89"/>
    <mergeCell ref="AB89:AD89"/>
    <mergeCell ref="AE89:AG89"/>
    <mergeCell ref="AI89:AK89"/>
    <mergeCell ref="AL89:AM89"/>
    <mergeCell ref="AN89:AO89"/>
    <mergeCell ref="BM88:BN88"/>
    <mergeCell ref="BO88:BR88"/>
    <mergeCell ref="BS88:BU88"/>
    <mergeCell ref="BV88:BY88"/>
    <mergeCell ref="BZ88:CG88"/>
    <mergeCell ref="A89:F89"/>
    <mergeCell ref="G89:J89"/>
    <mergeCell ref="K89:L89"/>
    <mergeCell ref="O89:R89"/>
    <mergeCell ref="S89:U89"/>
    <mergeCell ref="AS88:AT88"/>
    <mergeCell ref="AW88:AX88"/>
    <mergeCell ref="AY88:BA88"/>
    <mergeCell ref="BB88:BC88"/>
    <mergeCell ref="BE88:BH88"/>
    <mergeCell ref="BK88:BL88"/>
    <mergeCell ref="AB88:AD88"/>
    <mergeCell ref="AE88:AG88"/>
    <mergeCell ref="AI88:AK88"/>
    <mergeCell ref="AL88:AM88"/>
    <mergeCell ref="AN88:AO88"/>
    <mergeCell ref="AP88:AQ88"/>
    <mergeCell ref="A88:F88"/>
    <mergeCell ref="G88:J88"/>
    <mergeCell ref="K88:L88"/>
    <mergeCell ref="O88:R88"/>
    <mergeCell ref="S88:U88"/>
    <mergeCell ref="W88:Y88"/>
    <mergeCell ref="BK87:BL87"/>
    <mergeCell ref="BM87:BN87"/>
    <mergeCell ref="BO87:BR87"/>
    <mergeCell ref="BS87:BU87"/>
    <mergeCell ref="BV87:BY87"/>
    <mergeCell ref="BZ87:CG87"/>
    <mergeCell ref="AP87:AQ87"/>
    <mergeCell ref="AS87:AT87"/>
    <mergeCell ref="AW87:AX87"/>
    <mergeCell ref="AY87:BA87"/>
    <mergeCell ref="BB87:BC87"/>
    <mergeCell ref="BE87:BH87"/>
    <mergeCell ref="W87:Y87"/>
    <mergeCell ref="AB87:AD87"/>
    <mergeCell ref="AE87:AG87"/>
    <mergeCell ref="AI87:AK87"/>
    <mergeCell ref="AL87:AM87"/>
    <mergeCell ref="AN87:AO87"/>
    <mergeCell ref="BM86:BN86"/>
    <mergeCell ref="BO86:BR86"/>
    <mergeCell ref="BS86:BU86"/>
    <mergeCell ref="BV86:BY86"/>
    <mergeCell ref="BZ86:CG86"/>
    <mergeCell ref="A87:F87"/>
    <mergeCell ref="G87:J87"/>
    <mergeCell ref="K87:L87"/>
    <mergeCell ref="O87:R87"/>
    <mergeCell ref="S87:U87"/>
    <mergeCell ref="AS86:AT86"/>
    <mergeCell ref="AW86:AX86"/>
    <mergeCell ref="AY86:BA86"/>
    <mergeCell ref="BB86:BC86"/>
    <mergeCell ref="BE86:BH86"/>
    <mergeCell ref="BK86:BL86"/>
    <mergeCell ref="AB86:AD86"/>
    <mergeCell ref="AE86:AG86"/>
    <mergeCell ref="AI86:AK86"/>
    <mergeCell ref="AL86:AM86"/>
    <mergeCell ref="AN86:AO86"/>
    <mergeCell ref="AP86:AQ86"/>
    <mergeCell ref="A86:F86"/>
    <mergeCell ref="G86:J86"/>
    <mergeCell ref="K86:L86"/>
    <mergeCell ref="O86:R86"/>
    <mergeCell ref="S86:U86"/>
    <mergeCell ref="W86:Y86"/>
    <mergeCell ref="BK85:BL85"/>
    <mergeCell ref="BM85:BN85"/>
    <mergeCell ref="BO85:BR85"/>
    <mergeCell ref="BS85:BU85"/>
    <mergeCell ref="BV85:BY85"/>
    <mergeCell ref="BZ85:CG85"/>
    <mergeCell ref="AP85:AQ85"/>
    <mergeCell ref="AS85:AT85"/>
    <mergeCell ref="AW85:AX85"/>
    <mergeCell ref="AY85:BA85"/>
    <mergeCell ref="BB85:BC85"/>
    <mergeCell ref="BE85:BH85"/>
    <mergeCell ref="W85:Y85"/>
    <mergeCell ref="AB85:AD85"/>
    <mergeCell ref="AE85:AG85"/>
    <mergeCell ref="AI85:AK85"/>
    <mergeCell ref="AL85:AM85"/>
    <mergeCell ref="AN85:AO85"/>
    <mergeCell ref="BM84:BN84"/>
    <mergeCell ref="BO84:BR84"/>
    <mergeCell ref="BS84:BU84"/>
    <mergeCell ref="BV84:BY84"/>
    <mergeCell ref="BZ84:CG84"/>
    <mergeCell ref="A85:F85"/>
    <mergeCell ref="G85:J85"/>
    <mergeCell ref="K85:L85"/>
    <mergeCell ref="O85:R85"/>
    <mergeCell ref="S85:U85"/>
    <mergeCell ref="AS84:AT84"/>
    <mergeCell ref="AW84:AX84"/>
    <mergeCell ref="AY84:BA84"/>
    <mergeCell ref="BB84:BC84"/>
    <mergeCell ref="BE84:BH84"/>
    <mergeCell ref="BK84:BL84"/>
    <mergeCell ref="AB84:AD84"/>
    <mergeCell ref="AE84:AG84"/>
    <mergeCell ref="AI84:AK84"/>
    <mergeCell ref="AL84:AM84"/>
    <mergeCell ref="AN84:AO84"/>
    <mergeCell ref="AP84:AQ84"/>
    <mergeCell ref="A84:F84"/>
    <mergeCell ref="G84:J84"/>
    <mergeCell ref="K84:L84"/>
    <mergeCell ref="O84:R84"/>
    <mergeCell ref="S84:U84"/>
    <mergeCell ref="W84:Y84"/>
    <mergeCell ref="BK83:BL83"/>
    <mergeCell ref="BM83:BN83"/>
    <mergeCell ref="BO83:BR83"/>
    <mergeCell ref="BS83:BU83"/>
    <mergeCell ref="BV83:BY83"/>
    <mergeCell ref="BZ83:CG83"/>
    <mergeCell ref="AP83:AQ83"/>
    <mergeCell ref="AS83:AT83"/>
    <mergeCell ref="AW83:AX83"/>
    <mergeCell ref="AY83:BA83"/>
    <mergeCell ref="BB83:BC83"/>
    <mergeCell ref="BE83:BH83"/>
    <mergeCell ref="W83:Y83"/>
    <mergeCell ref="AB83:AD83"/>
    <mergeCell ref="AE83:AG83"/>
    <mergeCell ref="AI83:AK83"/>
    <mergeCell ref="AL83:AM83"/>
    <mergeCell ref="AN83:AO83"/>
    <mergeCell ref="BM82:BN82"/>
    <mergeCell ref="BO82:BR82"/>
    <mergeCell ref="BS82:BU82"/>
    <mergeCell ref="BV82:BY82"/>
    <mergeCell ref="BZ82:CG82"/>
    <mergeCell ref="A83:F83"/>
    <mergeCell ref="G83:J83"/>
    <mergeCell ref="K83:L83"/>
    <mergeCell ref="O83:R83"/>
    <mergeCell ref="S83:U83"/>
    <mergeCell ref="AS82:AT82"/>
    <mergeCell ref="AW82:AX82"/>
    <mergeCell ref="AY82:BA82"/>
    <mergeCell ref="BB82:BC82"/>
    <mergeCell ref="BE82:BH82"/>
    <mergeCell ref="BK82:BL82"/>
    <mergeCell ref="AB82:AD82"/>
    <mergeCell ref="AE82:AG82"/>
    <mergeCell ref="AI82:AK82"/>
    <mergeCell ref="AL82:AM82"/>
    <mergeCell ref="AN82:AO82"/>
    <mergeCell ref="AP82:AQ82"/>
    <mergeCell ref="A82:F82"/>
    <mergeCell ref="G82:J82"/>
    <mergeCell ref="K82:L82"/>
    <mergeCell ref="O82:R82"/>
    <mergeCell ref="S82:U82"/>
    <mergeCell ref="W82:Y82"/>
    <mergeCell ref="BK81:BL81"/>
    <mergeCell ref="BM81:BN81"/>
    <mergeCell ref="BO81:BR81"/>
    <mergeCell ref="BS81:BU81"/>
    <mergeCell ref="BV81:BY81"/>
    <mergeCell ref="BZ81:CG81"/>
    <mergeCell ref="AP81:AQ81"/>
    <mergeCell ref="AS81:AT81"/>
    <mergeCell ref="AW81:AX81"/>
    <mergeCell ref="AY81:BA81"/>
    <mergeCell ref="BB81:BC81"/>
    <mergeCell ref="BE81:BH81"/>
    <mergeCell ref="W81:Y81"/>
    <mergeCell ref="AB81:AD81"/>
    <mergeCell ref="AE81:AG81"/>
    <mergeCell ref="AI81:AK81"/>
    <mergeCell ref="AL81:AM81"/>
    <mergeCell ref="AN81:AO81"/>
    <mergeCell ref="BM80:BN80"/>
    <mergeCell ref="BO80:BR80"/>
    <mergeCell ref="BS80:BU80"/>
    <mergeCell ref="BV80:BY80"/>
    <mergeCell ref="BZ80:CG80"/>
    <mergeCell ref="A81:F81"/>
    <mergeCell ref="G81:J81"/>
    <mergeCell ref="K81:L81"/>
    <mergeCell ref="O81:R81"/>
    <mergeCell ref="S81:U81"/>
    <mergeCell ref="AS80:AT80"/>
    <mergeCell ref="AW80:AX80"/>
    <mergeCell ref="AY80:BA80"/>
    <mergeCell ref="BB80:BC80"/>
    <mergeCell ref="BE80:BH80"/>
    <mergeCell ref="BK80:BL80"/>
    <mergeCell ref="AB80:AD80"/>
    <mergeCell ref="AE80:AG80"/>
    <mergeCell ref="AI80:AK80"/>
    <mergeCell ref="AL80:AM80"/>
    <mergeCell ref="AN80:AO80"/>
    <mergeCell ref="AP80:AQ80"/>
    <mergeCell ref="A80:F80"/>
    <mergeCell ref="G80:J80"/>
    <mergeCell ref="K80:L80"/>
    <mergeCell ref="O80:R80"/>
    <mergeCell ref="S80:U80"/>
    <mergeCell ref="W80:Y80"/>
    <mergeCell ref="BK79:BL79"/>
    <mergeCell ref="BM79:BN79"/>
    <mergeCell ref="BO79:BR79"/>
    <mergeCell ref="BS79:BU79"/>
    <mergeCell ref="BV79:BY79"/>
    <mergeCell ref="BZ79:CG79"/>
    <mergeCell ref="AP79:AQ79"/>
    <mergeCell ref="AS79:AT79"/>
    <mergeCell ref="AW79:AX79"/>
    <mergeCell ref="AY79:BA79"/>
    <mergeCell ref="BB79:BC79"/>
    <mergeCell ref="BE79:BH79"/>
    <mergeCell ref="W79:Y79"/>
    <mergeCell ref="AB79:AD79"/>
    <mergeCell ref="AE79:AG79"/>
    <mergeCell ref="AI79:AK79"/>
    <mergeCell ref="AL79:AM79"/>
    <mergeCell ref="AN79:AO79"/>
    <mergeCell ref="BM78:BN78"/>
    <mergeCell ref="BO78:BR78"/>
    <mergeCell ref="BS78:BU78"/>
    <mergeCell ref="BV78:BY78"/>
    <mergeCell ref="BZ78:CG78"/>
    <mergeCell ref="A79:F79"/>
    <mergeCell ref="G79:J79"/>
    <mergeCell ref="K79:L79"/>
    <mergeCell ref="O79:R79"/>
    <mergeCell ref="S79:U79"/>
    <mergeCell ref="AS78:AT78"/>
    <mergeCell ref="AW78:AX78"/>
    <mergeCell ref="AY78:BA78"/>
    <mergeCell ref="BB78:BC78"/>
    <mergeCell ref="BE78:BH78"/>
    <mergeCell ref="BK78:BL78"/>
    <mergeCell ref="AB78:AD78"/>
    <mergeCell ref="AE78:AG78"/>
    <mergeCell ref="AI78:AK78"/>
    <mergeCell ref="AL78:AM78"/>
    <mergeCell ref="AN78:AO78"/>
    <mergeCell ref="AP78:AQ78"/>
    <mergeCell ref="A78:F78"/>
    <mergeCell ref="G78:J78"/>
    <mergeCell ref="K78:L78"/>
    <mergeCell ref="O78:R78"/>
    <mergeCell ref="S78:U78"/>
    <mergeCell ref="W78:Y78"/>
    <mergeCell ref="BK77:BL77"/>
    <mergeCell ref="BM77:BN77"/>
    <mergeCell ref="BO77:BR77"/>
    <mergeCell ref="BS77:BU77"/>
    <mergeCell ref="BV77:BY77"/>
    <mergeCell ref="BZ77:CG77"/>
    <mergeCell ref="AP77:AQ77"/>
    <mergeCell ref="AS77:AT77"/>
    <mergeCell ref="AW77:AX77"/>
    <mergeCell ref="AY77:BA77"/>
    <mergeCell ref="BB77:BC77"/>
    <mergeCell ref="BE77:BH77"/>
    <mergeCell ref="W77:Y77"/>
    <mergeCell ref="AB77:AD77"/>
    <mergeCell ref="AE77:AG77"/>
    <mergeCell ref="AI77:AK77"/>
    <mergeCell ref="AL77:AM77"/>
    <mergeCell ref="AN77:AO77"/>
    <mergeCell ref="BM76:BN76"/>
    <mergeCell ref="BO76:BR76"/>
    <mergeCell ref="BS76:BU76"/>
    <mergeCell ref="BV76:BY76"/>
    <mergeCell ref="BZ76:CG76"/>
    <mergeCell ref="A77:F77"/>
    <mergeCell ref="G77:J77"/>
    <mergeCell ref="K77:L77"/>
    <mergeCell ref="O77:R77"/>
    <mergeCell ref="S77:U77"/>
    <mergeCell ref="AS76:AT76"/>
    <mergeCell ref="AW76:AX76"/>
    <mergeCell ref="AY76:BA76"/>
    <mergeCell ref="BB76:BC76"/>
    <mergeCell ref="BE76:BH76"/>
    <mergeCell ref="BK76:BL76"/>
    <mergeCell ref="AB76:AD76"/>
    <mergeCell ref="AE76:AG76"/>
    <mergeCell ref="AI76:AK76"/>
    <mergeCell ref="AL76:AM76"/>
    <mergeCell ref="AN76:AO76"/>
    <mergeCell ref="AP76:AQ76"/>
    <mergeCell ref="A76:F76"/>
    <mergeCell ref="G76:J76"/>
    <mergeCell ref="K76:L76"/>
    <mergeCell ref="O76:R76"/>
    <mergeCell ref="S76:U76"/>
    <mergeCell ref="W76:Y76"/>
    <mergeCell ref="BK75:BL75"/>
    <mergeCell ref="BM75:BN75"/>
    <mergeCell ref="BO75:BR75"/>
    <mergeCell ref="BS75:BU75"/>
    <mergeCell ref="BV75:BY75"/>
    <mergeCell ref="BZ75:CG75"/>
    <mergeCell ref="AP75:AQ75"/>
    <mergeCell ref="AS75:AT75"/>
    <mergeCell ref="AW75:AX75"/>
    <mergeCell ref="AY75:BA75"/>
    <mergeCell ref="BB75:BC75"/>
    <mergeCell ref="BE75:BH75"/>
    <mergeCell ref="W75:Y75"/>
    <mergeCell ref="AB75:AD75"/>
    <mergeCell ref="AE75:AG75"/>
    <mergeCell ref="AI75:AK75"/>
    <mergeCell ref="AL75:AM75"/>
    <mergeCell ref="AN75:AO75"/>
    <mergeCell ref="BM74:BN74"/>
    <mergeCell ref="BO74:BR74"/>
    <mergeCell ref="BS74:BU74"/>
    <mergeCell ref="BV74:BY74"/>
    <mergeCell ref="BZ74:CG74"/>
    <mergeCell ref="A75:F75"/>
    <mergeCell ref="G75:J75"/>
    <mergeCell ref="K75:L75"/>
    <mergeCell ref="O75:R75"/>
    <mergeCell ref="S75:U75"/>
    <mergeCell ref="AS74:AT74"/>
    <mergeCell ref="AW74:AX74"/>
    <mergeCell ref="AY74:BA74"/>
    <mergeCell ref="BB74:BC74"/>
    <mergeCell ref="BE74:BH74"/>
    <mergeCell ref="BK74:BL74"/>
    <mergeCell ref="AB74:AD74"/>
    <mergeCell ref="AE74:AG74"/>
    <mergeCell ref="AI74:AK74"/>
    <mergeCell ref="AL74:AM74"/>
    <mergeCell ref="AN74:AO74"/>
    <mergeCell ref="AP74:AQ74"/>
    <mergeCell ref="A74:F74"/>
    <mergeCell ref="G74:J74"/>
    <mergeCell ref="K74:L74"/>
    <mergeCell ref="O74:R74"/>
    <mergeCell ref="S74:U74"/>
    <mergeCell ref="W74:Y74"/>
    <mergeCell ref="BK73:BL73"/>
    <mergeCell ref="BM73:BN73"/>
    <mergeCell ref="BO73:BR73"/>
    <mergeCell ref="BS73:BU73"/>
    <mergeCell ref="BV73:BY73"/>
    <mergeCell ref="BZ73:CG73"/>
    <mergeCell ref="AP73:AQ73"/>
    <mergeCell ref="AS73:AT73"/>
    <mergeCell ref="AW73:AX73"/>
    <mergeCell ref="AY73:BA73"/>
    <mergeCell ref="BB73:BC73"/>
    <mergeCell ref="BE73:BH73"/>
    <mergeCell ref="W73:Y73"/>
    <mergeCell ref="AB73:AD73"/>
    <mergeCell ref="AE73:AG73"/>
    <mergeCell ref="AI73:AK73"/>
    <mergeCell ref="AL73:AM73"/>
    <mergeCell ref="AN73:AO73"/>
    <mergeCell ref="BM72:BN72"/>
    <mergeCell ref="BO72:BR72"/>
    <mergeCell ref="BS72:BU72"/>
    <mergeCell ref="BV72:BY72"/>
    <mergeCell ref="BZ72:CG72"/>
    <mergeCell ref="A73:F73"/>
    <mergeCell ref="G73:J73"/>
    <mergeCell ref="K73:L73"/>
    <mergeCell ref="O73:R73"/>
    <mergeCell ref="S73:U73"/>
    <mergeCell ref="AS72:AT72"/>
    <mergeCell ref="AW72:AX72"/>
    <mergeCell ref="AY72:BA72"/>
    <mergeCell ref="BB72:BC72"/>
    <mergeCell ref="BE72:BH72"/>
    <mergeCell ref="BK72:BL72"/>
    <mergeCell ref="AB72:AD72"/>
    <mergeCell ref="AE72:AG72"/>
    <mergeCell ref="AI72:AK72"/>
    <mergeCell ref="AL72:AM72"/>
    <mergeCell ref="AN72:AO72"/>
    <mergeCell ref="AP72:AQ72"/>
    <mergeCell ref="A72:F72"/>
    <mergeCell ref="G72:J72"/>
    <mergeCell ref="K72:L72"/>
    <mergeCell ref="O72:R72"/>
    <mergeCell ref="S72:U72"/>
    <mergeCell ref="W72:Y72"/>
    <mergeCell ref="BK71:BL71"/>
    <mergeCell ref="BM71:BN71"/>
    <mergeCell ref="BO71:BR71"/>
    <mergeCell ref="BS71:BU71"/>
    <mergeCell ref="BV71:BY71"/>
    <mergeCell ref="BZ71:CG71"/>
    <mergeCell ref="AP71:AQ71"/>
    <mergeCell ref="AS71:AT71"/>
    <mergeCell ref="AW71:AX71"/>
    <mergeCell ref="AY71:BA71"/>
    <mergeCell ref="BB71:BC71"/>
    <mergeCell ref="BE71:BH71"/>
    <mergeCell ref="W71:Y71"/>
    <mergeCell ref="AB71:AD71"/>
    <mergeCell ref="AE71:AG71"/>
    <mergeCell ref="AI71:AK71"/>
    <mergeCell ref="AL71:AM71"/>
    <mergeCell ref="AN71:AO71"/>
    <mergeCell ref="BM70:BN70"/>
    <mergeCell ref="BO70:BR70"/>
    <mergeCell ref="BS70:BU70"/>
    <mergeCell ref="BV70:BY70"/>
    <mergeCell ref="BZ70:CG70"/>
    <mergeCell ref="A71:F71"/>
    <mergeCell ref="G71:J71"/>
    <mergeCell ref="K71:L71"/>
    <mergeCell ref="O71:R71"/>
    <mergeCell ref="S71:U71"/>
    <mergeCell ref="AS70:AT70"/>
    <mergeCell ref="AW70:AX70"/>
    <mergeCell ref="AY70:BA70"/>
    <mergeCell ref="BB70:BC70"/>
    <mergeCell ref="BE70:BH70"/>
    <mergeCell ref="BK70:BL70"/>
    <mergeCell ref="AB70:AD70"/>
    <mergeCell ref="AE70:AG70"/>
    <mergeCell ref="AI70:AK70"/>
    <mergeCell ref="AL70:AM70"/>
    <mergeCell ref="AN70:AO70"/>
    <mergeCell ref="AP70:AQ70"/>
    <mergeCell ref="A70:F70"/>
    <mergeCell ref="G70:J70"/>
    <mergeCell ref="K70:L70"/>
    <mergeCell ref="O70:R70"/>
    <mergeCell ref="S70:U70"/>
    <mergeCell ref="W70:Y70"/>
    <mergeCell ref="BK69:BL69"/>
    <mergeCell ref="BM69:BN69"/>
    <mergeCell ref="BO69:BR69"/>
    <mergeCell ref="BS69:BU69"/>
    <mergeCell ref="BV69:BY69"/>
    <mergeCell ref="BZ69:CG69"/>
    <mergeCell ref="AP69:AQ69"/>
    <mergeCell ref="AS69:AT69"/>
    <mergeCell ref="AW69:AX69"/>
    <mergeCell ref="AY69:BA69"/>
    <mergeCell ref="BB69:BC69"/>
    <mergeCell ref="BE69:BH69"/>
    <mergeCell ref="W69:Y69"/>
    <mergeCell ref="AB69:AD69"/>
    <mergeCell ref="AE69:AG69"/>
    <mergeCell ref="AI69:AK69"/>
    <mergeCell ref="AL69:AM69"/>
    <mergeCell ref="AN69:AO69"/>
    <mergeCell ref="BM68:BN68"/>
    <mergeCell ref="BO68:BR68"/>
    <mergeCell ref="BS68:BU68"/>
    <mergeCell ref="BV68:BY68"/>
    <mergeCell ref="BZ68:CG68"/>
    <mergeCell ref="A69:F69"/>
    <mergeCell ref="G69:J69"/>
    <mergeCell ref="K69:L69"/>
    <mergeCell ref="O69:R69"/>
    <mergeCell ref="S69:U69"/>
    <mergeCell ref="AS68:AT68"/>
    <mergeCell ref="AW68:AX68"/>
    <mergeCell ref="AY68:BA68"/>
    <mergeCell ref="BB68:BC68"/>
    <mergeCell ref="BE68:BH68"/>
    <mergeCell ref="BK68:BL68"/>
    <mergeCell ref="AB68:AD68"/>
    <mergeCell ref="AE68:AG68"/>
    <mergeCell ref="AI68:AK68"/>
    <mergeCell ref="AL68:AM68"/>
    <mergeCell ref="AN68:AO68"/>
    <mergeCell ref="AP68:AQ68"/>
    <mergeCell ref="A68:F68"/>
    <mergeCell ref="G68:J68"/>
    <mergeCell ref="K68:L68"/>
    <mergeCell ref="O68:R68"/>
    <mergeCell ref="S68:U68"/>
    <mergeCell ref="W68:Y68"/>
    <mergeCell ref="BK67:BL67"/>
    <mergeCell ref="BM67:BN67"/>
    <mergeCell ref="BO67:BR67"/>
    <mergeCell ref="BS67:BU67"/>
    <mergeCell ref="BV67:BY67"/>
    <mergeCell ref="BZ67:CG67"/>
    <mergeCell ref="AP67:AQ67"/>
    <mergeCell ref="AS67:AT67"/>
    <mergeCell ref="AW67:AX67"/>
    <mergeCell ref="AY67:BA67"/>
    <mergeCell ref="BB67:BC67"/>
    <mergeCell ref="BE67:BH67"/>
    <mergeCell ref="W67:Y67"/>
    <mergeCell ref="AB67:AD67"/>
    <mergeCell ref="AE67:AG67"/>
    <mergeCell ref="AI67:AK67"/>
    <mergeCell ref="AL67:AM67"/>
    <mergeCell ref="AN67:AO67"/>
    <mergeCell ref="BM66:BN66"/>
    <mergeCell ref="BO66:BR66"/>
    <mergeCell ref="BS66:BU66"/>
    <mergeCell ref="BV66:BY66"/>
    <mergeCell ref="BZ66:CG66"/>
    <mergeCell ref="A67:F67"/>
    <mergeCell ref="G67:J67"/>
    <mergeCell ref="K67:L67"/>
    <mergeCell ref="O67:R67"/>
    <mergeCell ref="S67:U67"/>
    <mergeCell ref="AS66:AT66"/>
    <mergeCell ref="AW66:AX66"/>
    <mergeCell ref="AY66:BA66"/>
    <mergeCell ref="BB66:BC66"/>
    <mergeCell ref="BE66:BH66"/>
    <mergeCell ref="BK66:BL66"/>
    <mergeCell ref="AB66:AD66"/>
    <mergeCell ref="AE66:AG66"/>
    <mergeCell ref="AI66:AK66"/>
    <mergeCell ref="AL66:AM66"/>
    <mergeCell ref="AN66:AO66"/>
    <mergeCell ref="AP66:AQ66"/>
    <mergeCell ref="A66:F66"/>
    <mergeCell ref="G66:J66"/>
    <mergeCell ref="K66:L66"/>
    <mergeCell ref="O66:R66"/>
    <mergeCell ref="S66:U66"/>
    <mergeCell ref="W66:Y66"/>
    <mergeCell ref="BK65:BL65"/>
    <mergeCell ref="BM65:BN65"/>
    <mergeCell ref="BO65:BR65"/>
    <mergeCell ref="BS65:BU65"/>
    <mergeCell ref="BV65:BY65"/>
    <mergeCell ref="BZ65:CG65"/>
    <mergeCell ref="AP65:AQ65"/>
    <mergeCell ref="AS65:AT65"/>
    <mergeCell ref="AW65:AX65"/>
    <mergeCell ref="AY65:BA65"/>
    <mergeCell ref="BB65:BC65"/>
    <mergeCell ref="BE65:BH65"/>
    <mergeCell ref="W65:Y65"/>
    <mergeCell ref="AB65:AD65"/>
    <mergeCell ref="AE65:AG65"/>
    <mergeCell ref="AI65:AK65"/>
    <mergeCell ref="AL65:AM65"/>
    <mergeCell ref="AN65:AO65"/>
    <mergeCell ref="BM64:BN64"/>
    <mergeCell ref="BO64:BR64"/>
    <mergeCell ref="BS64:BU64"/>
    <mergeCell ref="BV64:BY64"/>
    <mergeCell ref="BZ64:CG64"/>
    <mergeCell ref="A65:F65"/>
    <mergeCell ref="G65:J65"/>
    <mergeCell ref="K65:L65"/>
    <mergeCell ref="O65:R65"/>
    <mergeCell ref="S65:U65"/>
    <mergeCell ref="AS64:AT64"/>
    <mergeCell ref="AW64:AX64"/>
    <mergeCell ref="AY64:BA64"/>
    <mergeCell ref="BB64:BC64"/>
    <mergeCell ref="BE64:BH64"/>
    <mergeCell ref="BK64:BL64"/>
    <mergeCell ref="AB64:AD64"/>
    <mergeCell ref="AE64:AG64"/>
    <mergeCell ref="AI64:AK64"/>
    <mergeCell ref="AL64:AM64"/>
    <mergeCell ref="AN64:AO64"/>
    <mergeCell ref="AP64:AQ64"/>
    <mergeCell ref="A64:F64"/>
    <mergeCell ref="G64:J64"/>
    <mergeCell ref="K64:L64"/>
    <mergeCell ref="O64:R64"/>
    <mergeCell ref="S64:U64"/>
    <mergeCell ref="W64:Y64"/>
    <mergeCell ref="BK63:BL63"/>
    <mergeCell ref="BM63:BN63"/>
    <mergeCell ref="BO63:BR63"/>
    <mergeCell ref="BS63:BU63"/>
    <mergeCell ref="BV63:BY63"/>
    <mergeCell ref="BZ63:CG63"/>
    <mergeCell ref="AP63:AQ63"/>
    <mergeCell ref="AS63:AT63"/>
    <mergeCell ref="AW63:AX63"/>
    <mergeCell ref="AY63:BA63"/>
    <mergeCell ref="BB63:BC63"/>
    <mergeCell ref="BE63:BH63"/>
    <mergeCell ref="W63:Y63"/>
    <mergeCell ref="AB63:AD63"/>
    <mergeCell ref="AE63:AG63"/>
    <mergeCell ref="AI63:AK63"/>
    <mergeCell ref="AL63:AM63"/>
    <mergeCell ref="AN63:AO63"/>
    <mergeCell ref="BM62:BN62"/>
    <mergeCell ref="BO62:BR62"/>
    <mergeCell ref="BS62:BU62"/>
    <mergeCell ref="BV62:BY62"/>
    <mergeCell ref="BZ62:CG62"/>
    <mergeCell ref="A63:F63"/>
    <mergeCell ref="G63:J63"/>
    <mergeCell ref="K63:L63"/>
    <mergeCell ref="O63:R63"/>
    <mergeCell ref="S63:U63"/>
    <mergeCell ref="AS62:AT62"/>
    <mergeCell ref="AW62:AX62"/>
    <mergeCell ref="AY62:BA62"/>
    <mergeCell ref="BB62:BC62"/>
    <mergeCell ref="BE62:BH62"/>
    <mergeCell ref="BK62:BL62"/>
    <mergeCell ref="AB62:AD62"/>
    <mergeCell ref="AE62:AG62"/>
    <mergeCell ref="AI62:AK62"/>
    <mergeCell ref="AL62:AM62"/>
    <mergeCell ref="AN62:AO62"/>
    <mergeCell ref="AP62:AQ62"/>
    <mergeCell ref="A62:F62"/>
    <mergeCell ref="G62:J62"/>
    <mergeCell ref="K62:L62"/>
    <mergeCell ref="O62:R62"/>
    <mergeCell ref="S62:U62"/>
    <mergeCell ref="W62:Y62"/>
    <mergeCell ref="BK61:BL61"/>
    <mergeCell ref="BM61:BN61"/>
    <mergeCell ref="BO61:BR61"/>
    <mergeCell ref="BS61:BU61"/>
    <mergeCell ref="BV61:BY61"/>
    <mergeCell ref="BZ61:CG61"/>
    <mergeCell ref="AP61:AQ61"/>
    <mergeCell ref="AS61:AT61"/>
    <mergeCell ref="AW61:AX61"/>
    <mergeCell ref="AY61:BA61"/>
    <mergeCell ref="BB61:BC61"/>
    <mergeCell ref="BE61:BH61"/>
    <mergeCell ref="W61:Y61"/>
    <mergeCell ref="AB61:AD61"/>
    <mergeCell ref="AE61:AG61"/>
    <mergeCell ref="AI61:AK61"/>
    <mergeCell ref="AL61:AM61"/>
    <mergeCell ref="AN61:AO61"/>
    <mergeCell ref="BM60:BN60"/>
    <mergeCell ref="BO60:BR60"/>
    <mergeCell ref="BS60:BU60"/>
    <mergeCell ref="BV60:BY60"/>
    <mergeCell ref="BZ60:CG60"/>
    <mergeCell ref="A61:F61"/>
    <mergeCell ref="G61:J61"/>
    <mergeCell ref="K61:L61"/>
    <mergeCell ref="O61:R61"/>
    <mergeCell ref="S61:U61"/>
    <mergeCell ref="AS60:AT60"/>
    <mergeCell ref="AW60:AX60"/>
    <mergeCell ref="AY60:BA60"/>
    <mergeCell ref="BB60:BC60"/>
    <mergeCell ref="BE60:BH60"/>
    <mergeCell ref="BK60:BL60"/>
    <mergeCell ref="AB60:AD60"/>
    <mergeCell ref="AE60:AG60"/>
    <mergeCell ref="AI60:AK60"/>
    <mergeCell ref="AL60:AM60"/>
    <mergeCell ref="AN60:AO60"/>
    <mergeCell ref="AP60:AQ60"/>
    <mergeCell ref="A60:F60"/>
    <mergeCell ref="G60:J60"/>
    <mergeCell ref="K60:L60"/>
    <mergeCell ref="O60:R60"/>
    <mergeCell ref="S60:U60"/>
    <mergeCell ref="W60:Y60"/>
    <mergeCell ref="BK59:BL59"/>
    <mergeCell ref="BM59:BN59"/>
    <mergeCell ref="BO59:BR59"/>
    <mergeCell ref="BS59:BU59"/>
    <mergeCell ref="BV59:BY59"/>
    <mergeCell ref="BZ59:CG59"/>
    <mergeCell ref="AP59:AQ59"/>
    <mergeCell ref="AS59:AT59"/>
    <mergeCell ref="AW59:AX59"/>
    <mergeCell ref="AY59:BA59"/>
    <mergeCell ref="BB59:BC59"/>
    <mergeCell ref="BE59:BH59"/>
    <mergeCell ref="W59:Y59"/>
    <mergeCell ref="AB59:AD59"/>
    <mergeCell ref="AE59:AG59"/>
    <mergeCell ref="AI59:AK59"/>
    <mergeCell ref="AL59:AM59"/>
    <mergeCell ref="AN59:AO59"/>
    <mergeCell ref="BM58:BN58"/>
    <mergeCell ref="BO58:BR58"/>
    <mergeCell ref="BS58:BU58"/>
    <mergeCell ref="BV58:BY58"/>
    <mergeCell ref="BZ58:CG58"/>
    <mergeCell ref="A59:F59"/>
    <mergeCell ref="G59:J59"/>
    <mergeCell ref="K59:L59"/>
    <mergeCell ref="O59:R59"/>
    <mergeCell ref="S59:U59"/>
    <mergeCell ref="AS58:AT58"/>
    <mergeCell ref="AW58:AX58"/>
    <mergeCell ref="AY58:BA58"/>
    <mergeCell ref="BB58:BC58"/>
    <mergeCell ref="BE58:BH58"/>
    <mergeCell ref="BK58:BL58"/>
    <mergeCell ref="AB58:AD58"/>
    <mergeCell ref="AE58:AG58"/>
    <mergeCell ref="AI58:AK58"/>
    <mergeCell ref="AL58:AM58"/>
    <mergeCell ref="AN58:AO58"/>
    <mergeCell ref="AP58:AQ58"/>
    <mergeCell ref="A58:F58"/>
    <mergeCell ref="G58:J58"/>
    <mergeCell ref="K58:L58"/>
    <mergeCell ref="O58:R58"/>
    <mergeCell ref="S58:U58"/>
    <mergeCell ref="W58:Y58"/>
    <mergeCell ref="BK57:BL57"/>
    <mergeCell ref="BM57:BN57"/>
    <mergeCell ref="BO57:BR57"/>
    <mergeCell ref="BS57:BU57"/>
    <mergeCell ref="BV57:BY57"/>
    <mergeCell ref="BZ57:CG57"/>
    <mergeCell ref="AP57:AQ57"/>
    <mergeCell ref="AS57:AT57"/>
    <mergeCell ref="AW57:AX57"/>
    <mergeCell ref="AY57:BA57"/>
    <mergeCell ref="BB57:BC57"/>
    <mergeCell ref="BE57:BH57"/>
    <mergeCell ref="W57:Y57"/>
    <mergeCell ref="AB57:AD57"/>
    <mergeCell ref="AE57:AG57"/>
    <mergeCell ref="AI57:AK57"/>
    <mergeCell ref="AL57:AM57"/>
    <mergeCell ref="AN57:AO57"/>
    <mergeCell ref="BM56:BN56"/>
    <mergeCell ref="BO56:BR56"/>
    <mergeCell ref="BS56:BU56"/>
    <mergeCell ref="BV56:BY56"/>
    <mergeCell ref="BZ56:CG56"/>
    <mergeCell ref="A57:F57"/>
    <mergeCell ref="G57:J57"/>
    <mergeCell ref="K57:L57"/>
    <mergeCell ref="O57:R57"/>
    <mergeCell ref="S57:U57"/>
    <mergeCell ref="AS56:AT56"/>
    <mergeCell ref="AW56:AX56"/>
    <mergeCell ref="AY56:BA56"/>
    <mergeCell ref="BB56:BC56"/>
    <mergeCell ref="BE56:BH56"/>
    <mergeCell ref="BK56:BL56"/>
    <mergeCell ref="AB56:AD56"/>
    <mergeCell ref="AE56:AG56"/>
    <mergeCell ref="AI56:AK56"/>
    <mergeCell ref="AL56:AM56"/>
    <mergeCell ref="AN56:AO56"/>
    <mergeCell ref="AP56:AQ56"/>
    <mergeCell ref="A56:F56"/>
    <mergeCell ref="G56:J56"/>
    <mergeCell ref="K56:L56"/>
    <mergeCell ref="O56:R56"/>
    <mergeCell ref="S56:U56"/>
    <mergeCell ref="W56:Y56"/>
    <mergeCell ref="BK55:BL55"/>
    <mergeCell ref="BM55:BN55"/>
    <mergeCell ref="BO55:BR55"/>
    <mergeCell ref="BS55:BU55"/>
    <mergeCell ref="BV55:BY55"/>
    <mergeCell ref="BZ55:CG55"/>
    <mergeCell ref="AP55:AQ55"/>
    <mergeCell ref="AS55:AT55"/>
    <mergeCell ref="AW55:AX55"/>
    <mergeCell ref="AY55:BA55"/>
    <mergeCell ref="BB55:BC55"/>
    <mergeCell ref="BE55:BH55"/>
    <mergeCell ref="W55:Y55"/>
    <mergeCell ref="AB55:AD55"/>
    <mergeCell ref="AE55:AG55"/>
    <mergeCell ref="AI55:AK55"/>
    <mergeCell ref="AL55:AM55"/>
    <mergeCell ref="AN55:AO55"/>
    <mergeCell ref="BM54:BN54"/>
    <mergeCell ref="BO54:BR54"/>
    <mergeCell ref="BS54:BU54"/>
    <mergeCell ref="BV54:BY54"/>
    <mergeCell ref="BZ54:CG54"/>
    <mergeCell ref="A55:F55"/>
    <mergeCell ref="G55:J55"/>
    <mergeCell ref="K55:L55"/>
    <mergeCell ref="O55:R55"/>
    <mergeCell ref="S55:U55"/>
    <mergeCell ref="AS54:AT54"/>
    <mergeCell ref="AW54:AX54"/>
    <mergeCell ref="AY54:BA54"/>
    <mergeCell ref="BB54:BC54"/>
    <mergeCell ref="BE54:BH54"/>
    <mergeCell ref="BK54:BL54"/>
    <mergeCell ref="AB54:AD54"/>
    <mergeCell ref="AE54:AG54"/>
    <mergeCell ref="AI54:AK54"/>
    <mergeCell ref="AL54:AM54"/>
    <mergeCell ref="AN54:AO54"/>
    <mergeCell ref="AP54:AQ54"/>
    <mergeCell ref="A54:F54"/>
    <mergeCell ref="G54:J54"/>
    <mergeCell ref="K54:L54"/>
    <mergeCell ref="O54:R54"/>
    <mergeCell ref="S54:U54"/>
    <mergeCell ref="W54:Y54"/>
    <mergeCell ref="BK53:BL53"/>
    <mergeCell ref="BM53:BN53"/>
    <mergeCell ref="BO53:BR53"/>
    <mergeCell ref="BS53:BU53"/>
    <mergeCell ref="BV53:BY53"/>
    <mergeCell ref="BZ53:CG53"/>
    <mergeCell ref="AP53:AQ53"/>
    <mergeCell ref="AS53:AT53"/>
    <mergeCell ref="AW53:AX53"/>
    <mergeCell ref="AY53:BA53"/>
    <mergeCell ref="BB53:BC53"/>
    <mergeCell ref="BE53:BH53"/>
    <mergeCell ref="W53:Y53"/>
    <mergeCell ref="AB53:AD53"/>
    <mergeCell ref="AE53:AG53"/>
    <mergeCell ref="AI53:AK53"/>
    <mergeCell ref="AL53:AM53"/>
    <mergeCell ref="AN53:AO53"/>
    <mergeCell ref="BM52:BN52"/>
    <mergeCell ref="BO52:BR52"/>
    <mergeCell ref="BS52:BU52"/>
    <mergeCell ref="BV52:BY52"/>
    <mergeCell ref="BZ52:CG52"/>
    <mergeCell ref="A53:F53"/>
    <mergeCell ref="G53:J53"/>
    <mergeCell ref="K53:L53"/>
    <mergeCell ref="O53:R53"/>
    <mergeCell ref="S53:U53"/>
    <mergeCell ref="AS52:AT52"/>
    <mergeCell ref="AW52:AX52"/>
    <mergeCell ref="AY52:BA52"/>
    <mergeCell ref="BB52:BC52"/>
    <mergeCell ref="BE52:BH52"/>
    <mergeCell ref="BK52:BL52"/>
    <mergeCell ref="AB52:AD52"/>
    <mergeCell ref="AE52:AG52"/>
    <mergeCell ref="AI52:AK52"/>
    <mergeCell ref="AL52:AM52"/>
    <mergeCell ref="AN52:AO52"/>
    <mergeCell ref="AP52:AQ52"/>
    <mergeCell ref="A52:F52"/>
    <mergeCell ref="G52:J52"/>
    <mergeCell ref="K52:L52"/>
    <mergeCell ref="O52:R52"/>
    <mergeCell ref="S52:U52"/>
    <mergeCell ref="W52:Y52"/>
    <mergeCell ref="BK51:BL51"/>
    <mergeCell ref="BM51:BN51"/>
    <mergeCell ref="BO51:BR51"/>
    <mergeCell ref="BS51:BU51"/>
    <mergeCell ref="BV51:BY51"/>
    <mergeCell ref="BZ51:CG51"/>
    <mergeCell ref="AP51:AQ51"/>
    <mergeCell ref="AS51:AT51"/>
    <mergeCell ref="AW51:AX51"/>
    <mergeCell ref="AY51:BA51"/>
    <mergeCell ref="BB51:BC51"/>
    <mergeCell ref="BE51:BH51"/>
    <mergeCell ref="W51:Y51"/>
    <mergeCell ref="AB51:AD51"/>
    <mergeCell ref="AE51:AG51"/>
    <mergeCell ref="AI51:AK51"/>
    <mergeCell ref="AL51:AM51"/>
    <mergeCell ref="AN51:AO51"/>
    <mergeCell ref="BM50:BN50"/>
    <mergeCell ref="BO50:BR50"/>
    <mergeCell ref="BS50:BU50"/>
    <mergeCell ref="BV50:BY50"/>
    <mergeCell ref="BZ50:CG50"/>
    <mergeCell ref="A51:F51"/>
    <mergeCell ref="G51:J51"/>
    <mergeCell ref="K51:L51"/>
    <mergeCell ref="O51:R51"/>
    <mergeCell ref="S51:U51"/>
    <mergeCell ref="AS50:AT50"/>
    <mergeCell ref="AW50:AX50"/>
    <mergeCell ref="AY50:BA50"/>
    <mergeCell ref="BB50:BC50"/>
    <mergeCell ref="BE50:BH50"/>
    <mergeCell ref="BK50:BL50"/>
    <mergeCell ref="AB50:AD50"/>
    <mergeCell ref="AE50:AG50"/>
    <mergeCell ref="AI50:AK50"/>
    <mergeCell ref="AL50:AM50"/>
    <mergeCell ref="AN50:AO50"/>
    <mergeCell ref="AP50:AQ50"/>
    <mergeCell ref="A50:F50"/>
    <mergeCell ref="G50:J50"/>
    <mergeCell ref="K50:L50"/>
    <mergeCell ref="O50:R50"/>
    <mergeCell ref="S50:U50"/>
    <mergeCell ref="W50:Y50"/>
    <mergeCell ref="BK49:BL49"/>
    <mergeCell ref="BM49:BN49"/>
    <mergeCell ref="BO49:BR49"/>
    <mergeCell ref="BS49:BU49"/>
    <mergeCell ref="BV49:BY49"/>
    <mergeCell ref="BZ49:CG49"/>
    <mergeCell ref="AP49:AQ49"/>
    <mergeCell ref="AS49:AT49"/>
    <mergeCell ref="AW49:AX49"/>
    <mergeCell ref="AY49:BA49"/>
    <mergeCell ref="BB49:BC49"/>
    <mergeCell ref="BE49:BH49"/>
    <mergeCell ref="W49:Y49"/>
    <mergeCell ref="AB49:AD49"/>
    <mergeCell ref="AE49:AG49"/>
    <mergeCell ref="AI49:AK49"/>
    <mergeCell ref="AL49:AM49"/>
    <mergeCell ref="AN49:AO49"/>
    <mergeCell ref="BM48:BN48"/>
    <mergeCell ref="BO48:BR48"/>
    <mergeCell ref="BS48:BU48"/>
    <mergeCell ref="BV48:BY48"/>
    <mergeCell ref="BZ48:CG48"/>
    <mergeCell ref="A49:F49"/>
    <mergeCell ref="G49:J49"/>
    <mergeCell ref="K49:L49"/>
    <mergeCell ref="O49:R49"/>
    <mergeCell ref="S49:U49"/>
    <mergeCell ref="AS48:AT48"/>
    <mergeCell ref="AW48:AX48"/>
    <mergeCell ref="AY48:BA48"/>
    <mergeCell ref="BB48:BC48"/>
    <mergeCell ref="BE48:BH48"/>
    <mergeCell ref="BK48:BL48"/>
    <mergeCell ref="AB48:AD48"/>
    <mergeCell ref="AE48:AG48"/>
    <mergeCell ref="AI48:AK48"/>
    <mergeCell ref="AL48:AM48"/>
    <mergeCell ref="AN48:AO48"/>
    <mergeCell ref="AP48:AQ48"/>
    <mergeCell ref="A48:F48"/>
    <mergeCell ref="G48:J48"/>
    <mergeCell ref="K48:L48"/>
    <mergeCell ref="O48:R48"/>
    <mergeCell ref="S48:U48"/>
    <mergeCell ref="W48:Y48"/>
    <mergeCell ref="BK47:BL47"/>
    <mergeCell ref="BM47:BN47"/>
    <mergeCell ref="BO47:BR47"/>
    <mergeCell ref="BS47:BU47"/>
    <mergeCell ref="BV47:BY47"/>
    <mergeCell ref="BZ47:CG47"/>
    <mergeCell ref="AP47:AQ47"/>
    <mergeCell ref="AS47:AT47"/>
    <mergeCell ref="AW47:AX47"/>
    <mergeCell ref="AY47:BA47"/>
    <mergeCell ref="BB47:BC47"/>
    <mergeCell ref="BE47:BH47"/>
    <mergeCell ref="W47:Y47"/>
    <mergeCell ref="AB47:AD47"/>
    <mergeCell ref="AE47:AG47"/>
    <mergeCell ref="AI47:AK47"/>
    <mergeCell ref="AL47:AM47"/>
    <mergeCell ref="AN47:AO47"/>
    <mergeCell ref="BM46:BN46"/>
    <mergeCell ref="BO46:BR46"/>
    <mergeCell ref="BS46:BU46"/>
    <mergeCell ref="BV46:BY46"/>
    <mergeCell ref="BZ46:CG46"/>
    <mergeCell ref="A47:F47"/>
    <mergeCell ref="G47:J47"/>
    <mergeCell ref="K47:L47"/>
    <mergeCell ref="O47:R47"/>
    <mergeCell ref="S47:U47"/>
    <mergeCell ref="AS46:AT46"/>
    <mergeCell ref="AW46:AX46"/>
    <mergeCell ref="AY46:BA46"/>
    <mergeCell ref="BB46:BC46"/>
    <mergeCell ref="BE46:BH46"/>
    <mergeCell ref="BK46:BL46"/>
    <mergeCell ref="AB46:AD46"/>
    <mergeCell ref="AE46:AG46"/>
    <mergeCell ref="AI46:AK46"/>
    <mergeCell ref="AL46:AM46"/>
    <mergeCell ref="AN46:AO46"/>
    <mergeCell ref="AP46:AQ46"/>
    <mergeCell ref="A46:F46"/>
    <mergeCell ref="G46:J46"/>
    <mergeCell ref="K46:L46"/>
    <mergeCell ref="O46:R46"/>
    <mergeCell ref="S46:U46"/>
    <mergeCell ref="W46:Y46"/>
    <mergeCell ref="BK45:BL45"/>
    <mergeCell ref="BM45:BN45"/>
    <mergeCell ref="BO45:BR45"/>
    <mergeCell ref="BS45:BU45"/>
    <mergeCell ref="BV45:BY45"/>
    <mergeCell ref="BZ45:CG45"/>
    <mergeCell ref="AP45:AQ45"/>
    <mergeCell ref="AS45:AT45"/>
    <mergeCell ref="AW45:AX45"/>
    <mergeCell ref="AY45:BA45"/>
    <mergeCell ref="BB45:BC45"/>
    <mergeCell ref="BE45:BH45"/>
    <mergeCell ref="W45:Y45"/>
    <mergeCell ref="AB45:AD45"/>
    <mergeCell ref="AE45:AG45"/>
    <mergeCell ref="AI45:AK45"/>
    <mergeCell ref="AL45:AM45"/>
    <mergeCell ref="AN45:AO45"/>
    <mergeCell ref="BM44:BN44"/>
    <mergeCell ref="BO44:BR44"/>
    <mergeCell ref="BS44:BU44"/>
    <mergeCell ref="BV44:BY44"/>
    <mergeCell ref="BZ44:CG44"/>
    <mergeCell ref="A45:F45"/>
    <mergeCell ref="G45:J45"/>
    <mergeCell ref="K45:L45"/>
    <mergeCell ref="O45:R45"/>
    <mergeCell ref="S45:U45"/>
    <mergeCell ref="AS44:AT44"/>
    <mergeCell ref="AW44:AX44"/>
    <mergeCell ref="AY44:BA44"/>
    <mergeCell ref="BB44:BC44"/>
    <mergeCell ref="BE44:BH44"/>
    <mergeCell ref="BK44:BL44"/>
    <mergeCell ref="AB44:AD44"/>
    <mergeCell ref="AE44:AG44"/>
    <mergeCell ref="AI44:AK44"/>
    <mergeCell ref="AL44:AM44"/>
    <mergeCell ref="AN44:AO44"/>
    <mergeCell ref="AP44:AQ44"/>
    <mergeCell ref="A44:F44"/>
    <mergeCell ref="G44:J44"/>
    <mergeCell ref="K44:L44"/>
    <mergeCell ref="O44:R44"/>
    <mergeCell ref="S44:U44"/>
    <mergeCell ref="W44:Y44"/>
    <mergeCell ref="BK43:BL43"/>
    <mergeCell ref="BM43:BN43"/>
    <mergeCell ref="BO43:BR43"/>
    <mergeCell ref="BS43:BU43"/>
    <mergeCell ref="BV43:BY43"/>
    <mergeCell ref="BZ43:CG43"/>
    <mergeCell ref="AP43:AQ43"/>
    <mergeCell ref="AS43:AT43"/>
    <mergeCell ref="AW43:AX43"/>
    <mergeCell ref="AY43:BA43"/>
    <mergeCell ref="BB43:BC43"/>
    <mergeCell ref="BE43:BH43"/>
    <mergeCell ref="W43:Y43"/>
    <mergeCell ref="AB43:AD43"/>
    <mergeCell ref="AE43:AG43"/>
    <mergeCell ref="AI43:AK43"/>
    <mergeCell ref="AL43:AM43"/>
    <mergeCell ref="AN43:AO43"/>
    <mergeCell ref="BM42:BN42"/>
    <mergeCell ref="BO42:BR42"/>
    <mergeCell ref="BS42:BU42"/>
    <mergeCell ref="BV42:BY42"/>
    <mergeCell ref="BZ42:CG42"/>
    <mergeCell ref="A43:F43"/>
    <mergeCell ref="G43:J43"/>
    <mergeCell ref="K43:L43"/>
    <mergeCell ref="O43:R43"/>
    <mergeCell ref="S43:U43"/>
    <mergeCell ref="AS42:AT42"/>
    <mergeCell ref="AW42:AX42"/>
    <mergeCell ref="AY42:BA42"/>
    <mergeCell ref="BB42:BC42"/>
    <mergeCell ref="BE42:BH42"/>
    <mergeCell ref="BK42:BL42"/>
    <mergeCell ref="AB42:AD42"/>
    <mergeCell ref="AE42:AG42"/>
    <mergeCell ref="AI42:AK42"/>
    <mergeCell ref="AL42:AM42"/>
    <mergeCell ref="AN42:AO42"/>
    <mergeCell ref="AP42:AQ42"/>
    <mergeCell ref="A42:F42"/>
    <mergeCell ref="G42:J42"/>
    <mergeCell ref="K42:L42"/>
    <mergeCell ref="O42:R42"/>
    <mergeCell ref="S42:U42"/>
    <mergeCell ref="W42:Y42"/>
    <mergeCell ref="BK41:BL41"/>
    <mergeCell ref="BM41:BN41"/>
    <mergeCell ref="BO41:BR41"/>
    <mergeCell ref="BS41:BU41"/>
    <mergeCell ref="BV41:BY41"/>
    <mergeCell ref="BZ41:CG41"/>
    <mergeCell ref="AP41:AQ41"/>
    <mergeCell ref="AS41:AT41"/>
    <mergeCell ref="AW41:AX41"/>
    <mergeCell ref="AY41:BA41"/>
    <mergeCell ref="BB41:BC41"/>
    <mergeCell ref="BE41:BH41"/>
    <mergeCell ref="W41:Y41"/>
    <mergeCell ref="AB41:AD41"/>
    <mergeCell ref="AE41:AG41"/>
    <mergeCell ref="AI41:AK41"/>
    <mergeCell ref="AL41:AM41"/>
    <mergeCell ref="AN41:AO41"/>
    <mergeCell ref="BM40:BN40"/>
    <mergeCell ref="BO40:BR40"/>
    <mergeCell ref="BS40:BU40"/>
    <mergeCell ref="BV40:BY40"/>
    <mergeCell ref="BZ40:CG40"/>
    <mergeCell ref="A41:F41"/>
    <mergeCell ref="G41:J41"/>
    <mergeCell ref="K41:L41"/>
    <mergeCell ref="O41:R41"/>
    <mergeCell ref="S41:U41"/>
    <mergeCell ref="AS40:AT40"/>
    <mergeCell ref="AW40:AX40"/>
    <mergeCell ref="AY40:BA40"/>
    <mergeCell ref="BB40:BC40"/>
    <mergeCell ref="BE40:BH40"/>
    <mergeCell ref="BK40:BL40"/>
    <mergeCell ref="AB40:AD40"/>
    <mergeCell ref="AE40:AG40"/>
    <mergeCell ref="AI40:AK40"/>
    <mergeCell ref="AL40:AM40"/>
    <mergeCell ref="AN40:AO40"/>
    <mergeCell ref="AP40:AQ40"/>
    <mergeCell ref="A40:F40"/>
    <mergeCell ref="G40:J40"/>
    <mergeCell ref="K40:L40"/>
    <mergeCell ref="O40:R40"/>
    <mergeCell ref="S40:U40"/>
    <mergeCell ref="W40:Y40"/>
    <mergeCell ref="BK39:BL39"/>
    <mergeCell ref="BM39:BN39"/>
    <mergeCell ref="BO39:BR39"/>
    <mergeCell ref="BS39:BU39"/>
    <mergeCell ref="BV39:BY39"/>
    <mergeCell ref="BZ39:CG39"/>
    <mergeCell ref="AP39:AQ39"/>
    <mergeCell ref="AS39:AT39"/>
    <mergeCell ref="AW39:AX39"/>
    <mergeCell ref="AY39:BA39"/>
    <mergeCell ref="BB39:BC39"/>
    <mergeCell ref="BE39:BH39"/>
    <mergeCell ref="W39:Y39"/>
    <mergeCell ref="AB39:AD39"/>
    <mergeCell ref="AE39:AG39"/>
    <mergeCell ref="AI39:AK39"/>
    <mergeCell ref="AL39:AM39"/>
    <mergeCell ref="AN39:AO39"/>
    <mergeCell ref="BM38:BN38"/>
    <mergeCell ref="BO38:BR38"/>
    <mergeCell ref="BS38:BU38"/>
    <mergeCell ref="BV38:BY38"/>
    <mergeCell ref="BZ38:CG38"/>
    <mergeCell ref="A39:F39"/>
    <mergeCell ref="G39:J39"/>
    <mergeCell ref="K39:L39"/>
    <mergeCell ref="O39:R39"/>
    <mergeCell ref="S39:U39"/>
    <mergeCell ref="AS38:AT38"/>
    <mergeCell ref="AW38:AX38"/>
    <mergeCell ref="AY38:BA38"/>
    <mergeCell ref="BB38:BC38"/>
    <mergeCell ref="BE38:BH38"/>
    <mergeCell ref="BK38:BL38"/>
    <mergeCell ref="AB38:AD38"/>
    <mergeCell ref="AE38:AG38"/>
    <mergeCell ref="AI38:AK38"/>
    <mergeCell ref="AL38:AM38"/>
    <mergeCell ref="AN38:AO38"/>
    <mergeCell ref="AP38:AQ38"/>
    <mergeCell ref="A38:F38"/>
    <mergeCell ref="G38:J38"/>
    <mergeCell ref="K38:L38"/>
    <mergeCell ref="O38:R38"/>
    <mergeCell ref="S38:U38"/>
    <mergeCell ref="W38:Y38"/>
    <mergeCell ref="BK37:BL37"/>
    <mergeCell ref="BM37:BN37"/>
    <mergeCell ref="BO37:BR37"/>
    <mergeCell ref="BS37:BU37"/>
    <mergeCell ref="BV37:BY37"/>
    <mergeCell ref="BZ37:CG37"/>
    <mergeCell ref="AP37:AQ37"/>
    <mergeCell ref="AS37:AT37"/>
    <mergeCell ref="AW37:AX37"/>
    <mergeCell ref="AY37:BA37"/>
    <mergeCell ref="BB37:BC37"/>
    <mergeCell ref="BE37:BH37"/>
    <mergeCell ref="W37:Y37"/>
    <mergeCell ref="AB37:AD37"/>
    <mergeCell ref="AE37:AG37"/>
    <mergeCell ref="AI37:AK37"/>
    <mergeCell ref="AL37:AM37"/>
    <mergeCell ref="AN37:AO37"/>
    <mergeCell ref="BM36:BN36"/>
    <mergeCell ref="BO36:BR36"/>
    <mergeCell ref="BS36:BU36"/>
    <mergeCell ref="BV36:BY36"/>
    <mergeCell ref="BZ36:CG36"/>
    <mergeCell ref="A37:F37"/>
    <mergeCell ref="G37:J37"/>
    <mergeCell ref="K37:L37"/>
    <mergeCell ref="O37:R37"/>
    <mergeCell ref="S37:U37"/>
    <mergeCell ref="AS36:AT36"/>
    <mergeCell ref="AW36:AX36"/>
    <mergeCell ref="AY36:BA36"/>
    <mergeCell ref="BB36:BC36"/>
    <mergeCell ref="BE36:BH36"/>
    <mergeCell ref="BK36:BL36"/>
    <mergeCell ref="AB36:AD36"/>
    <mergeCell ref="AE36:AG36"/>
    <mergeCell ref="AI36:AK36"/>
    <mergeCell ref="AL36:AM36"/>
    <mergeCell ref="AN36:AO36"/>
    <mergeCell ref="AP36:AQ36"/>
    <mergeCell ref="A36:F36"/>
    <mergeCell ref="G36:J36"/>
    <mergeCell ref="K36:L36"/>
    <mergeCell ref="O36:R36"/>
    <mergeCell ref="S36:U36"/>
    <mergeCell ref="W36:Y36"/>
    <mergeCell ref="BK35:BL35"/>
    <mergeCell ref="BM35:BN35"/>
    <mergeCell ref="BO35:BR35"/>
    <mergeCell ref="BS35:BU35"/>
    <mergeCell ref="BV35:BY35"/>
    <mergeCell ref="BZ35:CG35"/>
    <mergeCell ref="AP35:AQ35"/>
    <mergeCell ref="AS35:AT35"/>
    <mergeCell ref="AW35:AX35"/>
    <mergeCell ref="AY35:BA35"/>
    <mergeCell ref="BB35:BC35"/>
    <mergeCell ref="BE35:BH35"/>
    <mergeCell ref="W35:Y35"/>
    <mergeCell ref="AB35:AD35"/>
    <mergeCell ref="AE35:AG35"/>
    <mergeCell ref="AI35:AK35"/>
    <mergeCell ref="AL35:AM35"/>
    <mergeCell ref="AN35:AO35"/>
    <mergeCell ref="BM34:BN34"/>
    <mergeCell ref="BO34:BR34"/>
    <mergeCell ref="BS34:BU34"/>
    <mergeCell ref="BV34:BY34"/>
    <mergeCell ref="BZ34:CG34"/>
    <mergeCell ref="A35:F35"/>
    <mergeCell ref="G35:J35"/>
    <mergeCell ref="K35:L35"/>
    <mergeCell ref="O35:R35"/>
    <mergeCell ref="S35:U35"/>
    <mergeCell ref="AS34:AT34"/>
    <mergeCell ref="AW34:AX34"/>
    <mergeCell ref="AY34:BA34"/>
    <mergeCell ref="BB34:BC34"/>
    <mergeCell ref="BE34:BH34"/>
    <mergeCell ref="BK34:BL34"/>
    <mergeCell ref="AB34:AD34"/>
    <mergeCell ref="AE34:AG34"/>
    <mergeCell ref="AI34:AK34"/>
    <mergeCell ref="AL34:AM34"/>
    <mergeCell ref="AN34:AO34"/>
    <mergeCell ref="AP34:AQ34"/>
    <mergeCell ref="A34:F34"/>
    <mergeCell ref="G34:J34"/>
    <mergeCell ref="K34:L34"/>
    <mergeCell ref="O34:R34"/>
    <mergeCell ref="S34:U34"/>
    <mergeCell ref="W34:Y34"/>
    <mergeCell ref="BK33:BL33"/>
    <mergeCell ref="BM33:BN33"/>
    <mergeCell ref="BO33:BR33"/>
    <mergeCell ref="BS33:BU33"/>
    <mergeCell ref="BV33:BY33"/>
    <mergeCell ref="BZ33:CG33"/>
    <mergeCell ref="AP33:AQ33"/>
    <mergeCell ref="AS33:AT33"/>
    <mergeCell ref="AW33:AX33"/>
    <mergeCell ref="AY33:BA33"/>
    <mergeCell ref="BB33:BC33"/>
    <mergeCell ref="BE33:BH33"/>
    <mergeCell ref="W33:Y33"/>
    <mergeCell ref="AB33:AD33"/>
    <mergeCell ref="AE33:AG33"/>
    <mergeCell ref="AI33:AK33"/>
    <mergeCell ref="AL33:AM33"/>
    <mergeCell ref="AN33:AO33"/>
    <mergeCell ref="BM32:BN32"/>
    <mergeCell ref="BO32:BR32"/>
    <mergeCell ref="BS32:BU32"/>
    <mergeCell ref="BV32:BY32"/>
    <mergeCell ref="BZ32:CG32"/>
    <mergeCell ref="A33:F33"/>
    <mergeCell ref="G33:J33"/>
    <mergeCell ref="K33:L33"/>
    <mergeCell ref="O33:R33"/>
    <mergeCell ref="S33:U33"/>
    <mergeCell ref="AS32:AT32"/>
    <mergeCell ref="AW32:AX32"/>
    <mergeCell ref="AY32:BA32"/>
    <mergeCell ref="BB32:BC32"/>
    <mergeCell ref="BE32:BH32"/>
    <mergeCell ref="BK32:BL32"/>
    <mergeCell ref="AB32:AD32"/>
    <mergeCell ref="AE32:AG32"/>
    <mergeCell ref="AI32:AK32"/>
    <mergeCell ref="AL32:AM32"/>
    <mergeCell ref="AN32:AO32"/>
    <mergeCell ref="AP32:AQ32"/>
    <mergeCell ref="A32:F32"/>
    <mergeCell ref="G32:J32"/>
    <mergeCell ref="K32:L32"/>
    <mergeCell ref="O32:R32"/>
    <mergeCell ref="S32:U32"/>
    <mergeCell ref="W32:Y32"/>
    <mergeCell ref="BK31:BL31"/>
    <mergeCell ref="BM31:BN31"/>
    <mergeCell ref="BO31:BR31"/>
    <mergeCell ref="BS31:BU31"/>
    <mergeCell ref="BV31:BY31"/>
    <mergeCell ref="BZ31:CG31"/>
    <mergeCell ref="AP31:AQ31"/>
    <mergeCell ref="AS31:AT31"/>
    <mergeCell ref="AW31:AX31"/>
    <mergeCell ref="AY31:BA31"/>
    <mergeCell ref="BB31:BC31"/>
    <mergeCell ref="BE31:BH31"/>
    <mergeCell ref="W31:Y31"/>
    <mergeCell ref="AB31:AD31"/>
    <mergeCell ref="AE31:AG31"/>
    <mergeCell ref="AI31:AK31"/>
    <mergeCell ref="AL31:AM31"/>
    <mergeCell ref="AN31:AO31"/>
    <mergeCell ref="BM30:BN30"/>
    <mergeCell ref="BO30:BR30"/>
    <mergeCell ref="BS30:BU30"/>
    <mergeCell ref="BV30:BY30"/>
    <mergeCell ref="BZ30:CG30"/>
    <mergeCell ref="A31:F31"/>
    <mergeCell ref="G31:J31"/>
    <mergeCell ref="K31:L31"/>
    <mergeCell ref="O31:R31"/>
    <mergeCell ref="S31:U31"/>
    <mergeCell ref="AS30:AT30"/>
    <mergeCell ref="AW30:AX30"/>
    <mergeCell ref="AY30:BA30"/>
    <mergeCell ref="BB30:BC30"/>
    <mergeCell ref="BE30:BH30"/>
    <mergeCell ref="BK30:BL30"/>
    <mergeCell ref="AB30:AD30"/>
    <mergeCell ref="AE30:AG30"/>
    <mergeCell ref="AI30:AK30"/>
    <mergeCell ref="AL30:AM30"/>
    <mergeCell ref="AN30:AO30"/>
    <mergeCell ref="AP30:AQ30"/>
    <mergeCell ref="A30:F30"/>
    <mergeCell ref="G30:J30"/>
    <mergeCell ref="K30:L30"/>
    <mergeCell ref="O30:R30"/>
    <mergeCell ref="S30:U30"/>
    <mergeCell ref="W30:Y30"/>
    <mergeCell ref="BK29:BL29"/>
    <mergeCell ref="BM29:BN29"/>
    <mergeCell ref="BO29:BR29"/>
    <mergeCell ref="BS29:BU29"/>
    <mergeCell ref="BV29:BY29"/>
    <mergeCell ref="BZ29:CG29"/>
    <mergeCell ref="AP29:AQ29"/>
    <mergeCell ref="AS29:AT29"/>
    <mergeCell ref="AW29:AX29"/>
    <mergeCell ref="AY29:BA29"/>
    <mergeCell ref="BB29:BC29"/>
    <mergeCell ref="BE29:BH29"/>
    <mergeCell ref="W29:Y29"/>
    <mergeCell ref="AB29:AD29"/>
    <mergeCell ref="AE29:AG29"/>
    <mergeCell ref="AI29:AK29"/>
    <mergeCell ref="AL29:AM29"/>
    <mergeCell ref="AN29:AO29"/>
    <mergeCell ref="BM28:BN28"/>
    <mergeCell ref="BO28:BR28"/>
    <mergeCell ref="BS28:BU28"/>
    <mergeCell ref="BV28:BY28"/>
    <mergeCell ref="BZ28:CG28"/>
    <mergeCell ref="A29:F29"/>
    <mergeCell ref="G29:J29"/>
    <mergeCell ref="K29:L29"/>
    <mergeCell ref="O29:R29"/>
    <mergeCell ref="S29:U29"/>
    <mergeCell ref="AS28:AT28"/>
    <mergeCell ref="AW28:AX28"/>
    <mergeCell ref="AY28:BA28"/>
    <mergeCell ref="BB28:BC28"/>
    <mergeCell ref="BE28:BH28"/>
    <mergeCell ref="BK28:BL28"/>
    <mergeCell ref="AB28:AD28"/>
    <mergeCell ref="AE28:AG28"/>
    <mergeCell ref="AI28:AK28"/>
    <mergeCell ref="AL28:AM28"/>
    <mergeCell ref="AN28:AO28"/>
    <mergeCell ref="AP28:AQ28"/>
    <mergeCell ref="A28:F28"/>
    <mergeCell ref="G28:J28"/>
    <mergeCell ref="K28:L28"/>
    <mergeCell ref="O28:R28"/>
    <mergeCell ref="S28:U28"/>
    <mergeCell ref="W28:Y28"/>
    <mergeCell ref="BK27:BL27"/>
    <mergeCell ref="BM27:BN27"/>
    <mergeCell ref="BO27:BR27"/>
    <mergeCell ref="BS27:BU27"/>
    <mergeCell ref="BV27:BY27"/>
    <mergeCell ref="BZ27:CG27"/>
    <mergeCell ref="AP27:AQ27"/>
    <mergeCell ref="AS27:AT27"/>
    <mergeCell ref="AW27:AX27"/>
    <mergeCell ref="AY27:BA27"/>
    <mergeCell ref="BB27:BC27"/>
    <mergeCell ref="BE27:BH27"/>
    <mergeCell ref="W27:Y27"/>
    <mergeCell ref="AB27:AD27"/>
    <mergeCell ref="AE27:AG27"/>
    <mergeCell ref="AI27:AK27"/>
    <mergeCell ref="AL27:AM27"/>
    <mergeCell ref="AN27:AO27"/>
    <mergeCell ref="BM26:BN26"/>
    <mergeCell ref="BO26:BR26"/>
    <mergeCell ref="BS26:BU26"/>
    <mergeCell ref="BV26:BY26"/>
    <mergeCell ref="BZ26:CG26"/>
    <mergeCell ref="A27:F27"/>
    <mergeCell ref="G27:J27"/>
    <mergeCell ref="K27:L27"/>
    <mergeCell ref="O27:R27"/>
    <mergeCell ref="S27:U27"/>
    <mergeCell ref="AS26:AT26"/>
    <mergeCell ref="AW26:AX26"/>
    <mergeCell ref="AY26:BA26"/>
    <mergeCell ref="BB26:BC26"/>
    <mergeCell ref="BE26:BH26"/>
    <mergeCell ref="BK26:BL26"/>
    <mergeCell ref="AB26:AD26"/>
    <mergeCell ref="AE26:AG26"/>
    <mergeCell ref="AI26:AK26"/>
    <mergeCell ref="AL26:AM26"/>
    <mergeCell ref="AN26:AO26"/>
    <mergeCell ref="AP26:AQ26"/>
    <mergeCell ref="A26:F26"/>
    <mergeCell ref="G26:J26"/>
    <mergeCell ref="K26:L26"/>
    <mergeCell ref="O26:R26"/>
    <mergeCell ref="S26:U26"/>
    <mergeCell ref="W26:Y26"/>
    <mergeCell ref="BK25:BL25"/>
    <mergeCell ref="BM25:BN25"/>
    <mergeCell ref="BO25:BR25"/>
    <mergeCell ref="BS25:BU25"/>
    <mergeCell ref="BV25:BY25"/>
    <mergeCell ref="BZ25:CG25"/>
    <mergeCell ref="AP25:AQ25"/>
    <mergeCell ref="AS25:AT25"/>
    <mergeCell ref="AW25:AX25"/>
    <mergeCell ref="AY25:BA25"/>
    <mergeCell ref="BB25:BC25"/>
    <mergeCell ref="BE25:BH25"/>
    <mergeCell ref="W25:Y25"/>
    <mergeCell ref="AB25:AD25"/>
    <mergeCell ref="AE25:AG25"/>
    <mergeCell ref="AI25:AK25"/>
    <mergeCell ref="AL25:AM25"/>
    <mergeCell ref="AN25:AO25"/>
    <mergeCell ref="BM24:BN24"/>
    <mergeCell ref="BO24:BR24"/>
    <mergeCell ref="BS24:BU24"/>
    <mergeCell ref="BV24:BY24"/>
    <mergeCell ref="BZ24:CG24"/>
    <mergeCell ref="A25:F25"/>
    <mergeCell ref="G25:J25"/>
    <mergeCell ref="K25:L25"/>
    <mergeCell ref="O25:R25"/>
    <mergeCell ref="S25:U25"/>
    <mergeCell ref="AS24:AT24"/>
    <mergeCell ref="AW24:AX24"/>
    <mergeCell ref="AY24:BA24"/>
    <mergeCell ref="BB24:BC24"/>
    <mergeCell ref="BE24:BH24"/>
    <mergeCell ref="BK24:BL24"/>
    <mergeCell ref="AB24:AD24"/>
    <mergeCell ref="AE24:AG24"/>
    <mergeCell ref="AI24:AK24"/>
    <mergeCell ref="AL24:AM24"/>
    <mergeCell ref="AN24:AO24"/>
    <mergeCell ref="AP24:AQ24"/>
    <mergeCell ref="A24:F24"/>
    <mergeCell ref="G24:J24"/>
    <mergeCell ref="K24:L24"/>
    <mergeCell ref="O24:R24"/>
    <mergeCell ref="S24:U24"/>
    <mergeCell ref="W24:Y24"/>
    <mergeCell ref="BK23:BL23"/>
    <mergeCell ref="BM23:BN23"/>
    <mergeCell ref="BO23:BR23"/>
    <mergeCell ref="BS23:BU23"/>
    <mergeCell ref="BV23:BY23"/>
    <mergeCell ref="BZ23:CG23"/>
    <mergeCell ref="AP23:AQ23"/>
    <mergeCell ref="AS23:AT23"/>
    <mergeCell ref="AW23:AX23"/>
    <mergeCell ref="AY23:BA23"/>
    <mergeCell ref="BB23:BC23"/>
    <mergeCell ref="BE23:BH23"/>
    <mergeCell ref="W23:Y23"/>
    <mergeCell ref="AB23:AD23"/>
    <mergeCell ref="AE23:AG23"/>
    <mergeCell ref="AI23:AK23"/>
    <mergeCell ref="AL23:AM23"/>
    <mergeCell ref="AN23:AO23"/>
    <mergeCell ref="BM22:BN22"/>
    <mergeCell ref="BO22:BR22"/>
    <mergeCell ref="BS22:BU22"/>
    <mergeCell ref="BV22:BY22"/>
    <mergeCell ref="BZ22:CG22"/>
    <mergeCell ref="A23:F23"/>
    <mergeCell ref="G23:J23"/>
    <mergeCell ref="K23:L23"/>
    <mergeCell ref="O23:R23"/>
    <mergeCell ref="S23:U23"/>
    <mergeCell ref="AS22:AT22"/>
    <mergeCell ref="AW22:AX22"/>
    <mergeCell ref="AY22:BA22"/>
    <mergeCell ref="BB22:BC22"/>
    <mergeCell ref="BE22:BH22"/>
    <mergeCell ref="BK22:BL22"/>
    <mergeCell ref="AB22:AD22"/>
    <mergeCell ref="AE22:AG22"/>
    <mergeCell ref="AI22:AK22"/>
    <mergeCell ref="AL22:AM22"/>
    <mergeCell ref="AN22:AO22"/>
    <mergeCell ref="AP22:AQ22"/>
    <mergeCell ref="BO21:BR21"/>
    <mergeCell ref="BS21:BU21"/>
    <mergeCell ref="BV21:BY21"/>
    <mergeCell ref="BZ21:CG21"/>
    <mergeCell ref="A22:F22"/>
    <mergeCell ref="G22:J22"/>
    <mergeCell ref="K22:L22"/>
    <mergeCell ref="O22:R22"/>
    <mergeCell ref="S22:U22"/>
    <mergeCell ref="W22:Y22"/>
    <mergeCell ref="AW21:AX21"/>
    <mergeCell ref="AY21:BA21"/>
    <mergeCell ref="BB21:BC21"/>
    <mergeCell ref="BE21:BH21"/>
    <mergeCell ref="BK21:BL21"/>
    <mergeCell ref="BM21:BN21"/>
    <mergeCell ref="AE21:AG21"/>
    <mergeCell ref="AI21:AK21"/>
    <mergeCell ref="AL21:AM21"/>
    <mergeCell ref="AN21:AO21"/>
    <mergeCell ref="AP21:AQ21"/>
    <mergeCell ref="AS21:AT21"/>
    <mergeCell ref="BS20:BU20"/>
    <mergeCell ref="BV20:BY20"/>
    <mergeCell ref="BZ20:CG20"/>
    <mergeCell ref="A21:F21"/>
    <mergeCell ref="G21:J21"/>
    <mergeCell ref="K21:L21"/>
    <mergeCell ref="O21:R21"/>
    <mergeCell ref="S21:U21"/>
    <mergeCell ref="W21:Y21"/>
    <mergeCell ref="AB21:AD21"/>
    <mergeCell ref="AY20:BA20"/>
    <mergeCell ref="BB20:BC20"/>
    <mergeCell ref="BE20:BH20"/>
    <mergeCell ref="BK20:BL20"/>
    <mergeCell ref="BM20:BN20"/>
    <mergeCell ref="BO20:BR20"/>
    <mergeCell ref="AI20:AK20"/>
    <mergeCell ref="AL20:AM20"/>
    <mergeCell ref="AN20:AO20"/>
    <mergeCell ref="AP20:AQ20"/>
    <mergeCell ref="AS20:AT20"/>
    <mergeCell ref="AW20:AX20"/>
    <mergeCell ref="BV19:BY19"/>
    <mergeCell ref="BZ19:CG19"/>
    <mergeCell ref="A20:F20"/>
    <mergeCell ref="G20:J20"/>
    <mergeCell ref="K20:L20"/>
    <mergeCell ref="O20:R20"/>
    <mergeCell ref="S20:U20"/>
    <mergeCell ref="W20:Y20"/>
    <mergeCell ref="AB20:AD20"/>
    <mergeCell ref="AE20:AG20"/>
    <mergeCell ref="BB19:BC19"/>
    <mergeCell ref="BE19:BH19"/>
    <mergeCell ref="BK19:BL19"/>
    <mergeCell ref="BM19:BN19"/>
    <mergeCell ref="BO19:BR19"/>
    <mergeCell ref="BS19:BU19"/>
    <mergeCell ref="AL19:AM19"/>
    <mergeCell ref="AN19:AO19"/>
    <mergeCell ref="AP19:AQ19"/>
    <mergeCell ref="AS19:AT19"/>
    <mergeCell ref="AW19:AX19"/>
    <mergeCell ref="AY19:BA19"/>
    <mergeCell ref="BV18:BY18"/>
    <mergeCell ref="A19:F19"/>
    <mergeCell ref="G19:J19"/>
    <mergeCell ref="K19:L19"/>
    <mergeCell ref="O19:R19"/>
    <mergeCell ref="S19:U19"/>
    <mergeCell ref="W19:Y19"/>
    <mergeCell ref="AB19:AD19"/>
    <mergeCell ref="AE19:AG19"/>
    <mergeCell ref="AI19:AK19"/>
    <mergeCell ref="BB18:BC18"/>
    <mergeCell ref="BE18:BH18"/>
    <mergeCell ref="BK18:BL18"/>
    <mergeCell ref="BM18:BN18"/>
    <mergeCell ref="BO18:BR18"/>
    <mergeCell ref="BS18:BU18"/>
    <mergeCell ref="AL18:AM18"/>
    <mergeCell ref="AN18:AO18"/>
    <mergeCell ref="AP18:AQ18"/>
    <mergeCell ref="AS18:AT18"/>
    <mergeCell ref="AW18:AX18"/>
    <mergeCell ref="AY18:BA18"/>
    <mergeCell ref="BK17:BL17"/>
    <mergeCell ref="BM17:BN17"/>
    <mergeCell ref="BO17:BR17"/>
    <mergeCell ref="K18:L18"/>
    <mergeCell ref="O18:R18"/>
    <mergeCell ref="S18:U18"/>
    <mergeCell ref="W18:Y18"/>
    <mergeCell ref="AB18:AD18"/>
    <mergeCell ref="AE18:AG18"/>
    <mergeCell ref="AI18:AK18"/>
    <mergeCell ref="AP17:AQ17"/>
    <mergeCell ref="AS17:AT17"/>
    <mergeCell ref="AW17:AX17"/>
    <mergeCell ref="AY17:BA17"/>
    <mergeCell ref="BB17:BC17"/>
    <mergeCell ref="BE17:BH17"/>
    <mergeCell ref="W17:Y17"/>
    <mergeCell ref="AB17:AD17"/>
    <mergeCell ref="AE17:AG17"/>
    <mergeCell ref="AI17:AK17"/>
    <mergeCell ref="AL17:AM17"/>
    <mergeCell ref="AN17:AO17"/>
    <mergeCell ref="AY15:BV15"/>
    <mergeCell ref="BW15:BZ15"/>
    <mergeCell ref="A16:F18"/>
    <mergeCell ref="G16:J18"/>
    <mergeCell ref="K16:BR16"/>
    <mergeCell ref="BS16:BY17"/>
    <mergeCell ref="BZ16:CG18"/>
    <mergeCell ref="K17:L17"/>
    <mergeCell ref="O17:R17"/>
    <mergeCell ref="S17:U17"/>
    <mergeCell ref="AN8:AS9"/>
    <mergeCell ref="R10:AB14"/>
    <mergeCell ref="BA11:BK12"/>
    <mergeCell ref="BN11:BZ12"/>
    <mergeCell ref="E12:H13"/>
    <mergeCell ref="I12:O13"/>
    <mergeCell ref="AD12:AX13"/>
    <mergeCell ref="BH5:BR5"/>
    <mergeCell ref="BT5:BW5"/>
    <mergeCell ref="BY5:BZ5"/>
    <mergeCell ref="M6:S9"/>
    <mergeCell ref="D7:G8"/>
    <mergeCell ref="I7:L8"/>
    <mergeCell ref="AG7:AM8"/>
    <mergeCell ref="AT7:BB8"/>
    <mergeCell ref="BC7:BZ8"/>
    <mergeCell ref="U8:AE9"/>
    <mergeCell ref="C1:I3"/>
    <mergeCell ref="BV2:CA4"/>
    <mergeCell ref="J3:BU3"/>
    <mergeCell ref="B5:G5"/>
    <mergeCell ref="I5:O5"/>
    <mergeCell ref="Q5:W5"/>
    <mergeCell ref="Y5:AI5"/>
    <mergeCell ref="AK5:AP5"/>
    <mergeCell ref="AQ5:AW5"/>
    <mergeCell ref="AZ5:BF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VICTORINO PINAWIN</dc:creator>
  <cp:lastModifiedBy>VICTORINO PINAWIN</cp:lastModifiedBy>
  <dcterms:created xsi:type="dcterms:W3CDTF">2026-07-27T06:57:35Z</dcterms:created>
  <dcterms:modified xsi:type="dcterms:W3CDTF">2026-07-27T06:58:32Z</dcterms:modified>
</cp:coreProperties>
</file>